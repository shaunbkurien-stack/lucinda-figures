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gcscaffoldingcomau.sharepoint.com/sites/GGCIndustries01/Shared Documents/Projects/Live QLD Projects/Live Quotes/4811 - Lucinda Wharf/"/>
    </mc:Choice>
  </mc:AlternateContent>
  <xr:revisionPtr revIDLastSave="27" documentId="8_{7B5542CF-41A0-4755-ACF7-11D45201E918}" xr6:coauthVersionLast="47" xr6:coauthVersionMax="47" xr10:uidLastSave="{03F4DFA3-9CC5-48B7-A8E2-9074F8D9181C}"/>
  <bookViews>
    <workbookView xWindow="-28920" yWindow="1620" windowWidth="29040" windowHeight="15720" xr2:uid="{6D15C335-75ED-4454-80E3-8915C407653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9" i="1" l="1"/>
  <c r="C10" i="1"/>
  <c r="C11" i="1"/>
  <c r="C12" i="1"/>
  <c r="C13" i="1"/>
  <c r="C14" i="1"/>
  <c r="C21" i="1"/>
  <c r="C22" i="1"/>
  <c r="C23" i="1"/>
  <c r="C24" i="1"/>
  <c r="C25" i="1"/>
  <c r="C26" i="1"/>
  <c r="C32" i="1"/>
  <c r="C33" i="1"/>
  <c r="C34" i="1"/>
  <c r="C35" i="1"/>
  <c r="C36" i="1"/>
  <c r="C37" i="1"/>
  <c r="C38" i="1"/>
  <c r="C39" i="1"/>
  <c r="C82" i="1"/>
  <c r="C83" i="1"/>
  <c r="C84" i="1"/>
  <c r="C85" i="1"/>
  <c r="C86" i="1"/>
  <c r="C87" i="1"/>
  <c r="C88" i="1"/>
  <c r="C55" i="1"/>
  <c r="C56" i="1"/>
  <c r="C57" i="1"/>
  <c r="C58" i="1"/>
  <c r="C59" i="1"/>
  <c r="C60" i="1"/>
  <c r="C61" i="1"/>
  <c r="C45" i="1"/>
  <c r="C46" i="1"/>
  <c r="C47" i="1"/>
  <c r="C48" i="1"/>
  <c r="C49" i="1"/>
  <c r="C50" i="1"/>
  <c r="C51" i="1"/>
  <c r="C52" i="1"/>
  <c r="C71" i="1"/>
  <c r="C72" i="1"/>
  <c r="C73" i="1"/>
  <c r="C74" i="1"/>
  <c r="C75" i="1"/>
  <c r="C76" i="1"/>
</calcChain>
</file>

<file path=xl/sharedStrings.xml><?xml version="1.0" encoding="utf-8"?>
<sst xmlns="http://schemas.openxmlformats.org/spreadsheetml/2006/main" count="131" uniqueCount="80">
  <si>
    <t>GGC Rate Card</t>
  </si>
  <si>
    <t>Description</t>
  </si>
  <si>
    <t>Supervisor</t>
  </si>
  <si>
    <t>Project Manager</t>
  </si>
  <si>
    <t>Item</t>
  </si>
  <si>
    <t>Site Ute</t>
  </si>
  <si>
    <t>Unit</t>
  </si>
  <si>
    <t>Unit Cost</t>
  </si>
  <si>
    <t>Per Day</t>
  </si>
  <si>
    <t>First Aid</t>
  </si>
  <si>
    <t>Per Hour</t>
  </si>
  <si>
    <t>3t  Tray Truck</t>
  </si>
  <si>
    <t xml:space="preserve">Rates will be subject to an annual increase of 3.5% </t>
  </si>
  <si>
    <t>Project Administrator</t>
  </si>
  <si>
    <t>Coxswain</t>
  </si>
  <si>
    <t>Deckhand</t>
  </si>
  <si>
    <t>3 - Allowances</t>
  </si>
  <si>
    <t>Coded Welder</t>
  </si>
  <si>
    <t>3t Tray Truck - Delivery</t>
  </si>
  <si>
    <t>Scaffold - Tube and Fittting</t>
  </si>
  <si>
    <t>Scaffold - Kwikstage</t>
  </si>
  <si>
    <t>Scaffold - Ringlock</t>
  </si>
  <si>
    <t>6m Work Punt</t>
  </si>
  <si>
    <t>Superintendent</t>
  </si>
  <si>
    <t>Leading Hand Allowance</t>
  </si>
  <si>
    <t>Peggy</t>
  </si>
  <si>
    <t>Trades Assistant</t>
  </si>
  <si>
    <t>Remote Area Allowance</t>
  </si>
  <si>
    <t>Living Away From Home Allowance (if applicable) LAFHA</t>
  </si>
  <si>
    <t>Nightshift will incur a 30% uplift</t>
  </si>
  <si>
    <t>Public Holidays will incure a 30% uplift</t>
  </si>
  <si>
    <t>Fitter / Mechanic / Boilermaker</t>
  </si>
  <si>
    <t>4 - Hire Equipment</t>
  </si>
  <si>
    <t>POA</t>
  </si>
  <si>
    <t>20th August 2026    -    Rates effective until 01.01.2027</t>
  </si>
  <si>
    <t>Crane Operator &gt;100T</t>
  </si>
  <si>
    <t>Crane Operator &gt;200T</t>
  </si>
  <si>
    <t>Kenworth HR - Delivery</t>
  </si>
  <si>
    <t>Kenworth MC - Delivery</t>
  </si>
  <si>
    <t>9m Modular Pontoon</t>
  </si>
  <si>
    <t>10' Rigging Container</t>
  </si>
  <si>
    <t>Design Engineer - Drafting</t>
  </si>
  <si>
    <t>Engineering and Certification</t>
  </si>
  <si>
    <t>1 - White Collar Labour</t>
  </si>
  <si>
    <t>2 - Blue Collar Labour</t>
  </si>
  <si>
    <t>Kito Electric Chain Block - 2 Tonne</t>
  </si>
  <si>
    <t>Per Week</t>
  </si>
  <si>
    <t>Control Panel and Wireless Pendant</t>
  </si>
  <si>
    <t>Chain / lever blocks - 1 &amp; 2 tonne</t>
  </si>
  <si>
    <t>Geda Materials Hoist - SWL 500kg</t>
  </si>
  <si>
    <t>240v Winch with davit arm - SWL 250kg</t>
  </si>
  <si>
    <t>240v Winch with davit arm - SWL 500kg</t>
  </si>
  <si>
    <t>Rope Access Kit</t>
  </si>
  <si>
    <t>Gotcha Rescue Kit</t>
  </si>
  <si>
    <t>6 - Pricing Notes</t>
  </si>
  <si>
    <t xml:space="preserve">5 - Crane Hire </t>
  </si>
  <si>
    <t>13 Tonne City Crane - Minimum hire 6 months</t>
  </si>
  <si>
    <t>20 Tonne Franna - Minimum hire 6 months</t>
  </si>
  <si>
    <t>70 Tonne All Terrain - Minimum hire 6 months</t>
  </si>
  <si>
    <t>60 Tonne Rough Terrain - Minimum hire 6 months</t>
  </si>
  <si>
    <t>Crane Mobilisations</t>
  </si>
  <si>
    <t>Each Way</t>
  </si>
  <si>
    <t xml:space="preserve">Per Week </t>
  </si>
  <si>
    <t>25 Tonne Franna - Minimum hire 6 months</t>
  </si>
  <si>
    <t>20 KVA Genset</t>
  </si>
  <si>
    <t>A once off first fit PPE charge per person is $1500</t>
  </si>
  <si>
    <t>All rates exclude GST</t>
  </si>
  <si>
    <t>Rope Access Level 1</t>
  </si>
  <si>
    <t>Rope Acess Level 2 &amp; 3</t>
  </si>
  <si>
    <t>Minimum charge out is 8 hours</t>
  </si>
  <si>
    <t>Damaged or unservicable scaffold ro hire materila with be replaced and backcharged at list rates</t>
  </si>
  <si>
    <t>All costs incurred by GGC (flights, transfers, travel, training etc) will be recovered at cost plus 10%</t>
  </si>
  <si>
    <t>All other size cranes packaged to suit project</t>
  </si>
  <si>
    <t>Per Tonne Per week</t>
  </si>
  <si>
    <t>Crane Operator</t>
  </si>
  <si>
    <t xml:space="preserve">Scaffolder / Rigger  </t>
  </si>
  <si>
    <t>Site specific inductions, VOC's, training and travel time will be recovered at the applicable hourly rate</t>
  </si>
  <si>
    <t>V-DECK</t>
  </si>
  <si>
    <t>NDT Technician</t>
  </si>
  <si>
    <t>All consumables will be chaged at cost plus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</si>
</sst>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24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0" xfId="0" applyFill="1" applyBorder="1"/>
    <xf numFmtId="44" fontId="3" fillId="2" borderId="7" xfId="1" applyFont="1" applyFill="1" applyBorder="1" applyAlignment="1">
      <alignment horizontal="center"/>
    </xf>
    <xf numFmtId="44" fontId="0" fillId="2" borderId="7" xfId="1" applyFont="1" applyFill="1" applyBorder="1" applyAlignment="1">
      <alignment horizontal="center"/>
    </xf>
    <xf numFmtId="44" fontId="0" fillId="2" borderId="7" xfId="1" applyFont="1" applyFill="1" applyBorder="1" applyAlignment="1">
      <alignment horizontal="center" vertical="center" wrapText="1"/>
    </xf>
    <xf numFmtId="44" fontId="0" fillId="2" borderId="7" xfId="1" applyFont="1" applyFill="1" applyBorder="1"/>
    <xf numFmtId="0" fontId="0" fillId="2" borderId="7" xfId="0" applyFill="1" applyBorder="1" applyAlignment="1">
      <alignment horizontal="center" vertical="center" wrapText="1"/>
    </xf>
    <xf numFmtId="44" fontId="2" fillId="2" borderId="7" xfId="1" applyFont="1" applyFill="1" applyBorder="1"/>
    <xf numFmtId="44" fontId="3" fillId="2" borderId="11" xfId="1" applyFont="1" applyFill="1" applyBorder="1" applyAlignment="1">
      <alignment horizontal="center"/>
    </xf>
    <xf numFmtId="0" fontId="4" fillId="2" borderId="1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wrapText="1"/>
    </xf>
    <xf numFmtId="0" fontId="4" fillId="2" borderId="12" xfId="0" applyFont="1" applyFill="1" applyBorder="1" applyAlignment="1">
      <alignment wrapText="1"/>
    </xf>
    <xf numFmtId="0" fontId="4" fillId="2" borderId="4" xfId="0" applyFont="1" applyFill="1" applyBorder="1"/>
    <xf numFmtId="0" fontId="6" fillId="2" borderId="0" xfId="0" applyFont="1" applyFill="1"/>
    <xf numFmtId="0" fontId="4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44" fontId="4" fillId="2" borderId="0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44" fontId="9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/>
    <xf numFmtId="44" fontId="10" fillId="2" borderId="1" xfId="1" applyFont="1" applyFill="1" applyBorder="1" applyAlignment="1">
      <alignment horizontal="center"/>
    </xf>
    <xf numFmtId="44" fontId="10" fillId="2" borderId="0" xfId="1" applyFont="1" applyFill="1" applyBorder="1" applyAlignment="1">
      <alignment horizontal="center"/>
    </xf>
    <xf numFmtId="44" fontId="9" fillId="2" borderId="1" xfId="1" applyFont="1" applyFill="1" applyBorder="1"/>
    <xf numFmtId="44" fontId="4" fillId="2" borderId="0" xfId="1" applyFont="1" applyFill="1" applyBorder="1"/>
    <xf numFmtId="0" fontId="4" fillId="2" borderId="0" xfId="0" applyFont="1" applyFill="1" applyAlignment="1">
      <alignment horizontal="center" vertical="center" wrapText="1"/>
    </xf>
    <xf numFmtId="44" fontId="9" fillId="2" borderId="0" xfId="1" applyFont="1" applyFill="1" applyBorder="1"/>
    <xf numFmtId="0" fontId="11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wrapText="1"/>
    </xf>
    <xf numFmtId="44" fontId="9" fillId="2" borderId="1" xfId="1" applyFont="1" applyFill="1" applyBorder="1" applyAlignment="1">
      <alignment wrapText="1"/>
    </xf>
    <xf numFmtId="0" fontId="12" fillId="2" borderId="0" xfId="0" applyFont="1" applyFill="1"/>
    <xf numFmtId="0" fontId="4" fillId="2" borderId="15" xfId="0" applyFont="1" applyFill="1" applyBorder="1"/>
    <xf numFmtId="0" fontId="4" fillId="2" borderId="16" xfId="0" applyFont="1" applyFill="1" applyBorder="1"/>
    <xf numFmtId="0" fontId="4" fillId="2" borderId="14" xfId="0" applyFont="1" applyFill="1" applyBorder="1"/>
    <xf numFmtId="0" fontId="4" fillId="2" borderId="13" xfId="0" applyFont="1" applyFill="1" applyBorder="1"/>
    <xf numFmtId="0" fontId="4" fillId="2" borderId="9" xfId="0" applyFont="1" applyFill="1" applyBorder="1"/>
    <xf numFmtId="0" fontId="4" fillId="0" borderId="1" xfId="0" applyFont="1" applyBorder="1"/>
    <xf numFmtId="0" fontId="4" fillId="2" borderId="0" xfId="0" applyFont="1" applyFill="1" applyAlignment="1">
      <alignment horizontal="center"/>
    </xf>
    <xf numFmtId="0" fontId="4" fillId="0" borderId="0" xfId="0" applyFont="1"/>
    <xf numFmtId="0" fontId="11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44" fontId="9" fillId="3" borderId="1" xfId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2" borderId="0" xfId="0" applyFill="1"/>
    <xf numFmtId="44" fontId="0" fillId="2" borderId="0" xfId="0" applyNumberFormat="1" applyFill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4" fontId="9" fillId="4" borderId="1" xfId="1" applyFont="1" applyFill="1" applyBorder="1" applyAlignment="1">
      <alignment horizontal="center" vertical="center" wrapText="1"/>
    </xf>
    <xf numFmtId="0" fontId="4" fillId="4" borderId="1" xfId="0" applyFont="1" applyFill="1" applyBorder="1"/>
    <xf numFmtId="44" fontId="10" fillId="4" borderId="1" xfId="1" applyFont="1" applyFill="1" applyBorder="1" applyAlignment="1">
      <alignment horizontal="center"/>
    </xf>
    <xf numFmtId="44" fontId="9" fillId="4" borderId="1" xfId="1" applyFont="1" applyFill="1" applyBorder="1"/>
    <xf numFmtId="164" fontId="4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wrapText="1"/>
    </xf>
    <xf numFmtId="44" fontId="9" fillId="4" borderId="1" xfId="1" applyFont="1" applyFill="1" applyBorder="1" applyAlignment="1">
      <alignment wrapText="1"/>
    </xf>
    <xf numFmtId="0" fontId="4" fillId="4" borderId="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 indent="1"/>
    </xf>
    <xf numFmtId="0" fontId="4" fillId="4" borderId="14" xfId="0" applyFont="1" applyFill="1" applyBorder="1"/>
    <xf numFmtId="0" fontId="4" fillId="4" borderId="2" xfId="0" applyFont="1" applyFill="1" applyBorder="1"/>
    <xf numFmtId="0" fontId="4" fillId="4" borderId="15" xfId="0" applyFont="1" applyFill="1" applyBorder="1" applyAlignment="1">
      <alignment horizontal="left" vertical="center" indent="1"/>
    </xf>
    <xf numFmtId="0" fontId="4" fillId="4" borderId="16" xfId="0" applyFont="1" applyFill="1" applyBorder="1"/>
    <xf numFmtId="0" fontId="4" fillId="4" borderId="12" xfId="0" applyFont="1" applyFill="1" applyBorder="1" applyAlignment="1">
      <alignment wrapText="1"/>
    </xf>
    <xf numFmtId="0" fontId="4" fillId="4" borderId="13" xfId="0" applyFont="1" applyFill="1" applyBorder="1"/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4" fillId="3" borderId="15" xfId="0" applyFont="1" applyFill="1" applyBorder="1"/>
    <xf numFmtId="0" fontId="4" fillId="3" borderId="16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183432</xdr:colOff>
      <xdr:row>1</xdr:row>
      <xdr:rowOff>152401</xdr:rowOff>
    </xdr:from>
    <xdr:to>
      <xdr:col>5</xdr:col>
      <xdr:colOff>1372672</xdr:colOff>
      <xdr:row>5</xdr:row>
      <xdr:rowOff>171451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4C083B-BEFE-E911-D7D8-0A4F5E488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2632" y="352426"/>
          <a:ext cx="256084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7209-A02D-4069-9E5F-746D0753243D}">
  <dimension ref="A1:AR186"/>
  <sheetViews>
    <sheetView tabSelected="1" topLeftCell="A24" zoomScaleNormal="100" workbookViewId="0">
      <selection activeCell="J68" sqref="J68"/>
    </sheetView>
  </sheetViews>
  <sheetFormatPr defaultRowHeight="15" x14ac:dyDescent="0.25"/>
  <cols>
    <col min="1" max="1" width="9.140625" style="57"/>
    <col min="2" max="2" width="3.140625" customWidth="1"/>
    <col min="4" max="4" width="54" customWidth="1"/>
    <col min="5" max="5" width="20.5703125" customWidth="1"/>
    <col min="6" max="6" width="20.7109375" customWidth="1"/>
    <col min="7" max="7" width="3.42578125" customWidth="1"/>
    <col min="8" max="14" width="9.140625" style="57"/>
    <col min="15" max="15" width="10.5703125" style="57" bestFit="1" customWidth="1"/>
    <col min="16" max="44" width="9.140625" style="57"/>
  </cols>
  <sheetData>
    <row r="1" spans="2:15" s="57" customFormat="1" ht="15.75" thickBot="1" x14ac:dyDescent="0.3">
      <c r="C1" s="21"/>
      <c r="D1" s="21"/>
      <c r="E1" s="21"/>
      <c r="F1" s="21"/>
    </row>
    <row r="2" spans="2:15" x14ac:dyDescent="0.25">
      <c r="B2" s="1"/>
      <c r="C2" s="19"/>
      <c r="D2" s="19"/>
      <c r="E2" s="19"/>
      <c r="F2" s="19"/>
      <c r="G2" s="2"/>
    </row>
    <row r="3" spans="2:15" ht="30" x14ac:dyDescent="0.4">
      <c r="B3" s="3"/>
      <c r="C3" s="20" t="s">
        <v>0</v>
      </c>
      <c r="D3" s="21"/>
      <c r="E3" s="21"/>
      <c r="F3" s="21"/>
      <c r="G3" s="4"/>
    </row>
    <row r="4" spans="2:15" ht="13.5" customHeight="1" x14ac:dyDescent="0.25">
      <c r="B4" s="3"/>
      <c r="C4" s="22" t="s">
        <v>34</v>
      </c>
      <c r="D4" s="21"/>
      <c r="E4" s="21"/>
      <c r="F4" s="21"/>
      <c r="G4" s="4"/>
    </row>
    <row r="5" spans="2:15" x14ac:dyDescent="0.25">
      <c r="B5" s="3"/>
      <c r="C5" s="21"/>
      <c r="D5" s="21"/>
      <c r="E5" s="21"/>
      <c r="F5" s="21"/>
      <c r="G5" s="4"/>
    </row>
    <row r="6" spans="2:15" ht="18" x14ac:dyDescent="0.25">
      <c r="B6" s="3"/>
      <c r="C6" s="23" t="s">
        <v>43</v>
      </c>
      <c r="D6" s="21"/>
      <c r="E6" s="21"/>
      <c r="F6" s="21"/>
      <c r="G6" s="4"/>
    </row>
    <row r="7" spans="2:15" x14ac:dyDescent="0.25">
      <c r="B7" s="3"/>
      <c r="C7" s="24"/>
      <c r="D7" s="21"/>
      <c r="E7" s="21"/>
      <c r="F7" s="21"/>
      <c r="G7" s="4"/>
    </row>
    <row r="8" spans="2:15" ht="18.75" customHeight="1" x14ac:dyDescent="0.25">
      <c r="B8" s="3"/>
      <c r="C8" s="53" t="s">
        <v>4</v>
      </c>
      <c r="D8" s="54" t="s">
        <v>1</v>
      </c>
      <c r="E8" s="55" t="s">
        <v>10</v>
      </c>
      <c r="F8" s="25"/>
      <c r="G8" s="9"/>
    </row>
    <row r="9" spans="2:15" ht="14.25" customHeight="1" x14ac:dyDescent="0.25">
      <c r="B9" s="3"/>
      <c r="C9" s="26">
        <v>1.1000000000000001</v>
      </c>
      <c r="D9" s="27" t="s">
        <v>13</v>
      </c>
      <c r="E9" s="28">
        <v>95</v>
      </c>
      <c r="F9" s="25"/>
      <c r="G9" s="9"/>
    </row>
    <row r="10" spans="2:15" ht="14.25" customHeight="1" x14ac:dyDescent="0.25">
      <c r="B10" s="3"/>
      <c r="C10" s="59">
        <f>C9+0.1</f>
        <v>1.2000000000000002</v>
      </c>
      <c r="D10" s="60" t="s">
        <v>41</v>
      </c>
      <c r="E10" s="61">
        <v>175</v>
      </c>
      <c r="F10" s="25"/>
      <c r="G10" s="9"/>
    </row>
    <row r="11" spans="2:15" ht="14.25" customHeight="1" x14ac:dyDescent="0.25">
      <c r="B11" s="3"/>
      <c r="C11" s="26">
        <f t="shared" ref="C11:C14" si="0">C10+0.1</f>
        <v>1.3000000000000003</v>
      </c>
      <c r="D11" s="27" t="s">
        <v>42</v>
      </c>
      <c r="E11" s="28">
        <v>200</v>
      </c>
      <c r="F11" s="25"/>
      <c r="G11" s="9"/>
    </row>
    <row r="12" spans="2:15" x14ac:dyDescent="0.25">
      <c r="B12" s="3"/>
      <c r="C12" s="26">
        <f t="shared" si="0"/>
        <v>1.4000000000000004</v>
      </c>
      <c r="D12" s="62" t="s">
        <v>2</v>
      </c>
      <c r="E12" s="63">
        <v>175</v>
      </c>
      <c r="F12" s="31"/>
      <c r="G12" s="7"/>
    </row>
    <row r="13" spans="2:15" x14ac:dyDescent="0.25">
      <c r="B13" s="3"/>
      <c r="C13" s="26">
        <f t="shared" si="0"/>
        <v>1.5000000000000004</v>
      </c>
      <c r="D13" s="29" t="s">
        <v>23</v>
      </c>
      <c r="E13" s="32">
        <v>210</v>
      </c>
      <c r="F13" s="33"/>
      <c r="G13" s="10"/>
    </row>
    <row r="14" spans="2:15" x14ac:dyDescent="0.25">
      <c r="B14" s="3"/>
      <c r="C14" s="26">
        <f t="shared" si="0"/>
        <v>1.6000000000000005</v>
      </c>
      <c r="D14" s="62" t="s">
        <v>3</v>
      </c>
      <c r="E14" s="64">
        <v>250</v>
      </c>
      <c r="F14" s="33"/>
      <c r="G14" s="10"/>
    </row>
    <row r="15" spans="2:15" x14ac:dyDescent="0.25">
      <c r="B15" s="3"/>
      <c r="C15" s="24"/>
      <c r="D15" s="21"/>
      <c r="E15" s="21"/>
      <c r="F15" s="21"/>
      <c r="G15" s="4"/>
    </row>
    <row r="16" spans="2:15" ht="18" x14ac:dyDescent="0.25">
      <c r="B16" s="3"/>
      <c r="C16" s="23" t="s">
        <v>44</v>
      </c>
      <c r="D16" s="21"/>
      <c r="E16" s="21"/>
      <c r="F16" s="21"/>
      <c r="G16" s="4"/>
      <c r="O16" s="58"/>
    </row>
    <row r="17" spans="2:15" x14ac:dyDescent="0.25">
      <c r="B17" s="3"/>
      <c r="C17" s="21"/>
      <c r="D17" s="21"/>
      <c r="E17" s="21"/>
      <c r="F17" s="21"/>
      <c r="G17" s="4"/>
      <c r="O17" s="58"/>
    </row>
    <row r="18" spans="2:15" ht="15.75" customHeight="1" x14ac:dyDescent="0.25">
      <c r="B18" s="3"/>
      <c r="C18" s="53" t="s">
        <v>4</v>
      </c>
      <c r="D18" s="54" t="s">
        <v>1</v>
      </c>
      <c r="E18" s="56" t="s">
        <v>10</v>
      </c>
      <c r="F18" s="34"/>
      <c r="G18" s="11"/>
      <c r="O18" s="58"/>
    </row>
    <row r="19" spans="2:15" ht="15.75" customHeight="1" x14ac:dyDescent="0.25">
      <c r="B19" s="3"/>
      <c r="C19" s="26">
        <v>2.1</v>
      </c>
      <c r="D19" s="27" t="s">
        <v>25</v>
      </c>
      <c r="E19" s="28">
        <v>100</v>
      </c>
      <c r="F19" s="34"/>
      <c r="G19" s="11"/>
      <c r="O19" s="58"/>
    </row>
    <row r="20" spans="2:15" ht="15.75" customHeight="1" x14ac:dyDescent="0.25">
      <c r="B20" s="3"/>
      <c r="C20" s="59">
        <v>2.1</v>
      </c>
      <c r="D20" s="60" t="s">
        <v>26</v>
      </c>
      <c r="E20" s="61">
        <v>110</v>
      </c>
      <c r="F20" s="34"/>
      <c r="G20" s="11"/>
    </row>
    <row r="21" spans="2:15" ht="15.75" customHeight="1" x14ac:dyDescent="0.25">
      <c r="B21" s="3"/>
      <c r="C21" s="26">
        <f>C20+0.1</f>
        <v>2.2000000000000002</v>
      </c>
      <c r="D21" s="27" t="s">
        <v>15</v>
      </c>
      <c r="E21" s="28">
        <v>110</v>
      </c>
      <c r="F21" s="34"/>
      <c r="G21" s="11"/>
      <c r="O21" s="58"/>
    </row>
    <row r="22" spans="2:15" ht="15.75" customHeight="1" x14ac:dyDescent="0.25">
      <c r="B22" s="3"/>
      <c r="C22" s="59">
        <f t="shared" ref="C22:C24" si="1">C21+0.1</f>
        <v>2.3000000000000003</v>
      </c>
      <c r="D22" s="60" t="s">
        <v>14</v>
      </c>
      <c r="E22" s="61">
        <v>125</v>
      </c>
      <c r="F22" s="34"/>
      <c r="G22" s="11"/>
    </row>
    <row r="23" spans="2:15" x14ac:dyDescent="0.25">
      <c r="B23" s="3"/>
      <c r="C23" s="26">
        <f t="shared" si="1"/>
        <v>2.4000000000000004</v>
      </c>
      <c r="D23" s="29" t="s">
        <v>75</v>
      </c>
      <c r="E23" s="32">
        <v>140</v>
      </c>
      <c r="F23" s="35"/>
      <c r="G23" s="12"/>
    </row>
    <row r="24" spans="2:15" x14ac:dyDescent="0.25">
      <c r="B24" s="3"/>
      <c r="C24" s="59">
        <f t="shared" si="1"/>
        <v>2.5000000000000004</v>
      </c>
      <c r="D24" s="62" t="s">
        <v>74</v>
      </c>
      <c r="E24" s="64">
        <v>145</v>
      </c>
      <c r="F24" s="35"/>
      <c r="G24" s="12"/>
    </row>
    <row r="25" spans="2:15" x14ac:dyDescent="0.25">
      <c r="B25" s="3"/>
      <c r="C25" s="26">
        <f>C24+0.1</f>
        <v>2.6000000000000005</v>
      </c>
      <c r="D25" s="29" t="s">
        <v>31</v>
      </c>
      <c r="E25" s="32">
        <v>150</v>
      </c>
      <c r="F25" s="35"/>
      <c r="G25" s="12"/>
    </row>
    <row r="26" spans="2:15" x14ac:dyDescent="0.25">
      <c r="B26" s="3"/>
      <c r="C26" s="59">
        <f>C25+0.1</f>
        <v>2.7000000000000006</v>
      </c>
      <c r="D26" s="62" t="s">
        <v>78</v>
      </c>
      <c r="E26" s="64">
        <v>165</v>
      </c>
      <c r="F26" s="35"/>
      <c r="G26" s="12"/>
    </row>
    <row r="27" spans="2:15" x14ac:dyDescent="0.25">
      <c r="B27" s="3"/>
      <c r="C27" s="21"/>
      <c r="D27" s="21"/>
      <c r="E27" s="21"/>
      <c r="F27" s="21"/>
      <c r="G27" s="4"/>
    </row>
    <row r="28" spans="2:15" ht="18" x14ac:dyDescent="0.25">
      <c r="B28" s="3"/>
      <c r="C28" s="23" t="s">
        <v>16</v>
      </c>
      <c r="D28" s="23"/>
      <c r="E28" s="21"/>
      <c r="F28" s="21"/>
      <c r="G28" s="4"/>
    </row>
    <row r="29" spans="2:15" ht="18" x14ac:dyDescent="0.25">
      <c r="B29" s="3"/>
      <c r="C29" s="23"/>
      <c r="D29" s="23"/>
      <c r="E29" s="21"/>
      <c r="F29" s="21"/>
      <c r="G29" s="4"/>
    </row>
    <row r="30" spans="2:15" x14ac:dyDescent="0.25">
      <c r="B30" s="3"/>
      <c r="C30" s="53" t="s">
        <v>4</v>
      </c>
      <c r="D30" s="54" t="s">
        <v>1</v>
      </c>
      <c r="E30" s="56" t="s">
        <v>6</v>
      </c>
      <c r="F30" s="56" t="s">
        <v>7</v>
      </c>
      <c r="G30" s="11"/>
    </row>
    <row r="31" spans="2:15" x14ac:dyDescent="0.25">
      <c r="B31" s="3"/>
      <c r="C31" s="26">
        <v>3.1</v>
      </c>
      <c r="D31" s="27" t="s">
        <v>24</v>
      </c>
      <c r="E31" s="36" t="s">
        <v>10</v>
      </c>
      <c r="F31" s="28">
        <v>10</v>
      </c>
      <c r="G31" s="11"/>
    </row>
    <row r="32" spans="2:15" x14ac:dyDescent="0.25">
      <c r="B32" s="3"/>
      <c r="C32" s="65">
        <f>C31+0.1</f>
        <v>3.2</v>
      </c>
      <c r="D32" s="62" t="s">
        <v>17</v>
      </c>
      <c r="E32" s="66" t="s">
        <v>10</v>
      </c>
      <c r="F32" s="63">
        <v>7.5</v>
      </c>
      <c r="G32" s="13"/>
    </row>
    <row r="33" spans="2:7" x14ac:dyDescent="0.25">
      <c r="B33" s="3"/>
      <c r="C33" s="37">
        <f t="shared" ref="C33:C39" si="2">C32+0.1</f>
        <v>3.3000000000000003</v>
      </c>
      <c r="D33" s="29" t="s">
        <v>35</v>
      </c>
      <c r="E33" s="36" t="s">
        <v>10</v>
      </c>
      <c r="F33" s="30">
        <v>5</v>
      </c>
      <c r="G33" s="13"/>
    </row>
    <row r="34" spans="2:7" x14ac:dyDescent="0.25">
      <c r="B34" s="3"/>
      <c r="C34" s="65">
        <f t="shared" si="2"/>
        <v>3.4000000000000004</v>
      </c>
      <c r="D34" s="62" t="s">
        <v>36</v>
      </c>
      <c r="E34" s="66" t="s">
        <v>10</v>
      </c>
      <c r="F34" s="63">
        <v>7.5</v>
      </c>
      <c r="G34" s="13"/>
    </row>
    <row r="35" spans="2:7" x14ac:dyDescent="0.25">
      <c r="B35" s="3"/>
      <c r="C35" s="37">
        <f t="shared" si="2"/>
        <v>3.5000000000000004</v>
      </c>
      <c r="D35" s="29" t="s">
        <v>9</v>
      </c>
      <c r="E35" s="36" t="s">
        <v>10</v>
      </c>
      <c r="F35" s="30">
        <v>5</v>
      </c>
      <c r="G35" s="7"/>
    </row>
    <row r="36" spans="2:7" x14ac:dyDescent="0.25">
      <c r="B36" s="3"/>
      <c r="C36" s="65">
        <f t="shared" si="2"/>
        <v>3.6000000000000005</v>
      </c>
      <c r="D36" s="62" t="s">
        <v>28</v>
      </c>
      <c r="E36" s="66" t="s">
        <v>8</v>
      </c>
      <c r="F36" s="63">
        <v>300</v>
      </c>
      <c r="G36" s="7"/>
    </row>
    <row r="37" spans="2:7" x14ac:dyDescent="0.25">
      <c r="B37" s="3"/>
      <c r="C37" s="37">
        <f t="shared" si="2"/>
        <v>3.7000000000000006</v>
      </c>
      <c r="D37" s="29" t="s">
        <v>67</v>
      </c>
      <c r="E37" s="36" t="s">
        <v>8</v>
      </c>
      <c r="F37" s="30">
        <v>60</v>
      </c>
      <c r="G37" s="7"/>
    </row>
    <row r="38" spans="2:7" x14ac:dyDescent="0.25">
      <c r="B38" s="3"/>
      <c r="C38" s="65">
        <f t="shared" si="2"/>
        <v>3.8000000000000007</v>
      </c>
      <c r="D38" s="62" t="s">
        <v>68</v>
      </c>
      <c r="E38" s="66" t="s">
        <v>8</v>
      </c>
      <c r="F38" s="63">
        <v>85</v>
      </c>
      <c r="G38" s="7"/>
    </row>
    <row r="39" spans="2:7" x14ac:dyDescent="0.25">
      <c r="B39" s="3"/>
      <c r="C39" s="37">
        <f t="shared" si="2"/>
        <v>3.9000000000000008</v>
      </c>
      <c r="D39" s="29" t="s">
        <v>27</v>
      </c>
      <c r="E39" s="36" t="s">
        <v>8</v>
      </c>
      <c r="F39" s="32">
        <v>50</v>
      </c>
      <c r="G39" s="8"/>
    </row>
    <row r="40" spans="2:7" x14ac:dyDescent="0.25">
      <c r="B40" s="3"/>
      <c r="C40" s="38"/>
      <c r="D40" s="21"/>
      <c r="E40" s="33"/>
      <c r="F40" s="33"/>
      <c r="G40" s="10"/>
    </row>
    <row r="41" spans="2:7" ht="18" x14ac:dyDescent="0.25">
      <c r="B41" s="3"/>
      <c r="C41" s="23" t="s">
        <v>32</v>
      </c>
      <c r="D41" s="23"/>
      <c r="E41" s="21"/>
      <c r="F41" s="21"/>
      <c r="G41" s="4"/>
    </row>
    <row r="42" spans="2:7" x14ac:dyDescent="0.25">
      <c r="B42" s="3"/>
      <c r="C42" s="21"/>
      <c r="D42" s="21"/>
      <c r="E42" s="21"/>
      <c r="F42" s="21"/>
      <c r="G42" s="4"/>
    </row>
    <row r="43" spans="2:7" x14ac:dyDescent="0.25">
      <c r="B43" s="3"/>
      <c r="C43" s="53" t="s">
        <v>4</v>
      </c>
      <c r="D43" s="54" t="s">
        <v>1</v>
      </c>
      <c r="E43" s="56" t="s">
        <v>6</v>
      </c>
      <c r="F43" s="56" t="s">
        <v>7</v>
      </c>
      <c r="G43" s="4"/>
    </row>
    <row r="44" spans="2:7" x14ac:dyDescent="0.25">
      <c r="B44" s="3"/>
      <c r="C44" s="67">
        <v>4.0999999999999996</v>
      </c>
      <c r="D44" s="62" t="s">
        <v>5</v>
      </c>
      <c r="E44" s="66" t="s">
        <v>8</v>
      </c>
      <c r="F44" s="63">
        <v>125</v>
      </c>
      <c r="G44" s="4"/>
    </row>
    <row r="45" spans="2:7" x14ac:dyDescent="0.25">
      <c r="B45" s="3"/>
      <c r="C45" s="39">
        <f>C44+0.1</f>
        <v>4.1999999999999993</v>
      </c>
      <c r="D45" s="40" t="s">
        <v>11</v>
      </c>
      <c r="E45" s="36" t="s">
        <v>8</v>
      </c>
      <c r="F45" s="30">
        <v>145</v>
      </c>
      <c r="G45" s="4"/>
    </row>
    <row r="46" spans="2:7" x14ac:dyDescent="0.25">
      <c r="B46" s="3"/>
      <c r="C46" s="67">
        <f t="shared" ref="C46:C52" si="3">C45+0.1</f>
        <v>4.2999999999999989</v>
      </c>
      <c r="D46" s="68" t="s">
        <v>18</v>
      </c>
      <c r="E46" s="66" t="s">
        <v>10</v>
      </c>
      <c r="F46" s="63">
        <v>150</v>
      </c>
      <c r="G46" s="4"/>
    </row>
    <row r="47" spans="2:7" x14ac:dyDescent="0.25">
      <c r="B47" s="3"/>
      <c r="C47" s="39">
        <f t="shared" si="3"/>
        <v>4.3999999999999986</v>
      </c>
      <c r="D47" s="40" t="s">
        <v>37</v>
      </c>
      <c r="E47" s="36" t="s">
        <v>10</v>
      </c>
      <c r="F47" s="30">
        <v>200</v>
      </c>
      <c r="G47" s="4"/>
    </row>
    <row r="48" spans="2:7" x14ac:dyDescent="0.25">
      <c r="B48" s="3"/>
      <c r="C48" s="67">
        <f t="shared" si="3"/>
        <v>4.4999999999999982</v>
      </c>
      <c r="D48" s="68" t="s">
        <v>38</v>
      </c>
      <c r="E48" s="66" t="s">
        <v>10</v>
      </c>
      <c r="F48" s="63">
        <v>220</v>
      </c>
      <c r="G48" s="4"/>
    </row>
    <row r="49" spans="2:7" x14ac:dyDescent="0.25">
      <c r="B49" s="3"/>
      <c r="C49" s="39">
        <f t="shared" si="3"/>
        <v>4.5999999999999979</v>
      </c>
      <c r="D49" s="40" t="s">
        <v>22</v>
      </c>
      <c r="E49" s="36" t="s">
        <v>8</v>
      </c>
      <c r="F49" s="41">
        <v>550</v>
      </c>
      <c r="G49" s="4"/>
    </row>
    <row r="50" spans="2:7" x14ac:dyDescent="0.25">
      <c r="B50" s="3"/>
      <c r="C50" s="67">
        <f t="shared" si="3"/>
        <v>4.6999999999999975</v>
      </c>
      <c r="D50" s="68" t="s">
        <v>39</v>
      </c>
      <c r="E50" s="66" t="s">
        <v>8</v>
      </c>
      <c r="F50" s="69">
        <v>100</v>
      </c>
      <c r="G50" s="4"/>
    </row>
    <row r="51" spans="2:7" x14ac:dyDescent="0.25">
      <c r="B51" s="3"/>
      <c r="C51" s="39">
        <f t="shared" si="3"/>
        <v>4.7999999999999972</v>
      </c>
      <c r="D51" s="40" t="s">
        <v>19</v>
      </c>
      <c r="E51" s="36" t="s">
        <v>73</v>
      </c>
      <c r="F51" s="30">
        <v>45</v>
      </c>
      <c r="G51" s="4"/>
    </row>
    <row r="52" spans="2:7" x14ac:dyDescent="0.25">
      <c r="B52" s="3"/>
      <c r="C52" s="67">
        <f t="shared" si="3"/>
        <v>4.8999999999999968</v>
      </c>
      <c r="D52" s="68" t="s">
        <v>20</v>
      </c>
      <c r="E52" s="66" t="s">
        <v>73</v>
      </c>
      <c r="F52" s="63">
        <v>45</v>
      </c>
      <c r="G52" s="4"/>
    </row>
    <row r="53" spans="2:7" x14ac:dyDescent="0.25">
      <c r="B53" s="3"/>
      <c r="C53" s="39">
        <v>4.91</v>
      </c>
      <c r="D53" s="40" t="s">
        <v>21</v>
      </c>
      <c r="E53" s="36" t="s">
        <v>73</v>
      </c>
      <c r="F53" s="30">
        <v>50</v>
      </c>
      <c r="G53" s="4"/>
    </row>
    <row r="54" spans="2:7" x14ac:dyDescent="0.25">
      <c r="B54" s="3"/>
      <c r="C54" s="67">
        <v>4.92</v>
      </c>
      <c r="D54" s="68" t="s">
        <v>45</v>
      </c>
      <c r="E54" s="66" t="s">
        <v>46</v>
      </c>
      <c r="F54" s="63">
        <v>200</v>
      </c>
      <c r="G54" s="4"/>
    </row>
    <row r="55" spans="2:7" x14ac:dyDescent="0.25">
      <c r="B55" s="3"/>
      <c r="C55" s="39">
        <f>C54+0.01</f>
        <v>4.93</v>
      </c>
      <c r="D55" s="40" t="s">
        <v>47</v>
      </c>
      <c r="E55" s="36" t="s">
        <v>46</v>
      </c>
      <c r="F55" s="30">
        <v>500</v>
      </c>
      <c r="G55" s="4"/>
    </row>
    <row r="56" spans="2:7" x14ac:dyDescent="0.25">
      <c r="B56" s="3"/>
      <c r="C56" s="67">
        <f t="shared" ref="C56:C61" si="4">C55+0.01</f>
        <v>4.9399999999999995</v>
      </c>
      <c r="D56" s="68" t="s">
        <v>48</v>
      </c>
      <c r="E56" s="66" t="s">
        <v>46</v>
      </c>
      <c r="F56" s="63">
        <v>50</v>
      </c>
      <c r="G56" s="4"/>
    </row>
    <row r="57" spans="2:7" x14ac:dyDescent="0.25">
      <c r="B57" s="3"/>
      <c r="C57" s="39">
        <f t="shared" si="4"/>
        <v>4.9499999999999993</v>
      </c>
      <c r="D57" s="40" t="s">
        <v>49</v>
      </c>
      <c r="E57" s="36" t="s">
        <v>46</v>
      </c>
      <c r="F57" s="30">
        <v>1500</v>
      </c>
      <c r="G57" s="4"/>
    </row>
    <row r="58" spans="2:7" x14ac:dyDescent="0.25">
      <c r="B58" s="3"/>
      <c r="C58" s="67">
        <f t="shared" si="4"/>
        <v>4.9599999999999991</v>
      </c>
      <c r="D58" s="68" t="s">
        <v>50</v>
      </c>
      <c r="E58" s="66" t="s">
        <v>46</v>
      </c>
      <c r="F58" s="63">
        <v>400</v>
      </c>
      <c r="G58" s="4"/>
    </row>
    <row r="59" spans="2:7" x14ac:dyDescent="0.25">
      <c r="B59" s="3"/>
      <c r="C59" s="39">
        <f t="shared" si="4"/>
        <v>4.9699999999999989</v>
      </c>
      <c r="D59" s="40" t="s">
        <v>51</v>
      </c>
      <c r="E59" s="36" t="s">
        <v>46</v>
      </c>
      <c r="F59" s="30">
        <v>500</v>
      </c>
      <c r="G59" s="4"/>
    </row>
    <row r="60" spans="2:7" x14ac:dyDescent="0.25">
      <c r="B60" s="3"/>
      <c r="C60" s="67">
        <f t="shared" si="4"/>
        <v>4.9799999999999986</v>
      </c>
      <c r="D60" s="68" t="s">
        <v>64</v>
      </c>
      <c r="E60" s="66" t="s">
        <v>46</v>
      </c>
      <c r="F60" s="63">
        <v>1200</v>
      </c>
      <c r="G60" s="4"/>
    </row>
    <row r="61" spans="2:7" x14ac:dyDescent="0.25">
      <c r="B61" s="3"/>
      <c r="C61" s="39">
        <f t="shared" si="4"/>
        <v>4.9899999999999984</v>
      </c>
      <c r="D61" s="40" t="s">
        <v>40</v>
      </c>
      <c r="E61" s="36" t="s">
        <v>46</v>
      </c>
      <c r="F61" s="30">
        <v>1000</v>
      </c>
      <c r="G61" s="4"/>
    </row>
    <row r="62" spans="2:7" x14ac:dyDescent="0.25">
      <c r="B62" s="3"/>
      <c r="C62" s="67">
        <v>4.9909999999999997</v>
      </c>
      <c r="D62" s="68" t="s">
        <v>52</v>
      </c>
      <c r="E62" s="66" t="s">
        <v>8</v>
      </c>
      <c r="F62" s="63">
        <v>100</v>
      </c>
      <c r="G62" s="4"/>
    </row>
    <row r="63" spans="2:7" x14ac:dyDescent="0.25">
      <c r="B63" s="3"/>
      <c r="C63" s="39">
        <v>4.992</v>
      </c>
      <c r="D63" s="48" t="s">
        <v>53</v>
      </c>
      <c r="E63" s="36" t="s">
        <v>8</v>
      </c>
      <c r="F63" s="30">
        <v>50</v>
      </c>
      <c r="G63" s="4"/>
    </row>
    <row r="64" spans="2:7" x14ac:dyDescent="0.25">
      <c r="B64" s="3"/>
      <c r="C64" s="67">
        <v>4.9930000000000003</v>
      </c>
      <c r="D64" s="62" t="s">
        <v>53</v>
      </c>
      <c r="E64" s="66" t="s">
        <v>8</v>
      </c>
      <c r="F64" s="63">
        <v>50</v>
      </c>
      <c r="G64" s="4"/>
    </row>
    <row r="65" spans="2:7" x14ac:dyDescent="0.25">
      <c r="B65" s="3"/>
      <c r="C65" s="39">
        <v>4.9939999999999998</v>
      </c>
      <c r="D65" s="29" t="s">
        <v>77</v>
      </c>
      <c r="E65" s="36" t="s">
        <v>8</v>
      </c>
      <c r="F65" s="30" t="s">
        <v>33</v>
      </c>
      <c r="G65" s="4"/>
    </row>
    <row r="66" spans="2:7" x14ac:dyDescent="0.25">
      <c r="B66" s="3"/>
      <c r="C66" s="49"/>
      <c r="D66" s="50"/>
      <c r="E66" s="51"/>
      <c r="F66" s="31"/>
      <c r="G66" s="4"/>
    </row>
    <row r="67" spans="2:7" ht="18" x14ac:dyDescent="0.25">
      <c r="B67" s="3"/>
      <c r="C67" s="23" t="s">
        <v>55</v>
      </c>
      <c r="D67" s="23"/>
      <c r="E67" s="21"/>
      <c r="F67" s="21"/>
      <c r="G67" s="4"/>
    </row>
    <row r="68" spans="2:7" x14ac:dyDescent="0.25">
      <c r="B68" s="3"/>
      <c r="C68" s="21"/>
      <c r="D68" s="21"/>
      <c r="E68" s="21"/>
      <c r="F68" s="21"/>
      <c r="G68" s="4"/>
    </row>
    <row r="69" spans="2:7" x14ac:dyDescent="0.25">
      <c r="B69" s="3"/>
      <c r="C69" s="53" t="s">
        <v>4</v>
      </c>
      <c r="D69" s="54" t="s">
        <v>1</v>
      </c>
      <c r="E69" s="56" t="s">
        <v>6</v>
      </c>
      <c r="F69" s="56" t="s">
        <v>7</v>
      </c>
      <c r="G69" s="4"/>
    </row>
    <row r="70" spans="2:7" x14ac:dyDescent="0.25">
      <c r="B70" s="3"/>
      <c r="C70" s="39">
        <v>5.0999999999999996</v>
      </c>
      <c r="D70" s="29" t="s">
        <v>56</v>
      </c>
      <c r="E70" s="36" t="s">
        <v>46</v>
      </c>
      <c r="F70" s="30">
        <v>3500</v>
      </c>
      <c r="G70" s="4"/>
    </row>
    <row r="71" spans="2:7" x14ac:dyDescent="0.25">
      <c r="B71" s="3"/>
      <c r="C71" s="67">
        <f>C70+0.1</f>
        <v>5.1999999999999993</v>
      </c>
      <c r="D71" s="62" t="s">
        <v>57</v>
      </c>
      <c r="E71" s="66" t="s">
        <v>46</v>
      </c>
      <c r="F71" s="63">
        <v>2600</v>
      </c>
      <c r="G71" s="4"/>
    </row>
    <row r="72" spans="2:7" x14ac:dyDescent="0.25">
      <c r="B72" s="3"/>
      <c r="C72" s="39">
        <f t="shared" ref="C72:C76" si="5">C71+0.1</f>
        <v>5.2999999999999989</v>
      </c>
      <c r="D72" s="29" t="s">
        <v>63</v>
      </c>
      <c r="E72" s="36" t="s">
        <v>46</v>
      </c>
      <c r="F72" s="30">
        <v>3200</v>
      </c>
      <c r="G72" s="4"/>
    </row>
    <row r="73" spans="2:7" x14ac:dyDescent="0.25">
      <c r="B73" s="3"/>
      <c r="C73" s="67">
        <f t="shared" si="5"/>
        <v>5.3999999999999986</v>
      </c>
      <c r="D73" s="62" t="s">
        <v>58</v>
      </c>
      <c r="E73" s="66" t="s">
        <v>46</v>
      </c>
      <c r="F73" s="63">
        <v>6600</v>
      </c>
      <c r="G73" s="4"/>
    </row>
    <row r="74" spans="2:7" x14ac:dyDescent="0.25">
      <c r="B74" s="3"/>
      <c r="C74" s="39">
        <f t="shared" si="5"/>
        <v>5.4999999999999982</v>
      </c>
      <c r="D74" s="29" t="s">
        <v>59</v>
      </c>
      <c r="E74" s="36" t="s">
        <v>46</v>
      </c>
      <c r="F74" s="30">
        <v>4500</v>
      </c>
      <c r="G74" s="4"/>
    </row>
    <row r="75" spans="2:7" x14ac:dyDescent="0.25">
      <c r="B75" s="3"/>
      <c r="C75" s="67">
        <f t="shared" si="5"/>
        <v>5.5999999999999979</v>
      </c>
      <c r="D75" s="62" t="s">
        <v>72</v>
      </c>
      <c r="E75" s="66" t="s">
        <v>62</v>
      </c>
      <c r="F75" s="63" t="s">
        <v>33</v>
      </c>
      <c r="G75" s="4"/>
    </row>
    <row r="76" spans="2:7" x14ac:dyDescent="0.25">
      <c r="B76" s="3"/>
      <c r="C76" s="39">
        <f t="shared" si="5"/>
        <v>5.6999999999999975</v>
      </c>
      <c r="D76" s="29" t="s">
        <v>60</v>
      </c>
      <c r="E76" s="36" t="s">
        <v>61</v>
      </c>
      <c r="F76" s="30" t="s">
        <v>33</v>
      </c>
      <c r="G76" s="4"/>
    </row>
    <row r="77" spans="2:7" x14ac:dyDescent="0.25">
      <c r="B77" s="3"/>
      <c r="C77" s="49"/>
      <c r="D77" s="21"/>
      <c r="E77" s="51"/>
      <c r="F77" s="31"/>
      <c r="G77" s="4"/>
    </row>
    <row r="78" spans="2:7" ht="20.25" x14ac:dyDescent="0.3">
      <c r="B78" s="3"/>
      <c r="C78" s="42" t="s">
        <v>54</v>
      </c>
      <c r="D78" s="21"/>
      <c r="E78" s="21"/>
      <c r="F78" s="21"/>
      <c r="G78" s="4"/>
    </row>
    <row r="79" spans="2:7" x14ac:dyDescent="0.25">
      <c r="B79" s="3"/>
      <c r="C79" s="21"/>
      <c r="D79" s="21"/>
      <c r="E79" s="21"/>
      <c r="F79" s="21"/>
      <c r="G79" s="4"/>
    </row>
    <row r="80" spans="2:7" x14ac:dyDescent="0.25">
      <c r="B80" s="3"/>
      <c r="C80" s="79" t="s">
        <v>4</v>
      </c>
      <c r="D80" s="80" t="s">
        <v>1</v>
      </c>
      <c r="E80" s="81"/>
      <c r="F80" s="82"/>
      <c r="G80" s="4"/>
    </row>
    <row r="81" spans="2:7" x14ac:dyDescent="0.25">
      <c r="B81" s="3"/>
      <c r="C81" s="70">
        <v>6.1</v>
      </c>
      <c r="D81" s="71" t="s">
        <v>76</v>
      </c>
      <c r="E81" s="72"/>
      <c r="F81" s="73"/>
      <c r="G81" s="4"/>
    </row>
    <row r="82" spans="2:7" x14ac:dyDescent="0.25">
      <c r="B82" s="3"/>
      <c r="C82" s="52">
        <f t="shared" ref="C82:C90" si="6">C81+0.1</f>
        <v>6.1999999999999993</v>
      </c>
      <c r="D82" s="15" t="s">
        <v>12</v>
      </c>
      <c r="E82" s="16"/>
      <c r="F82" s="44"/>
      <c r="G82" s="4"/>
    </row>
    <row r="83" spans="2:7" x14ac:dyDescent="0.25">
      <c r="B83" s="3"/>
      <c r="C83" s="70">
        <f t="shared" si="6"/>
        <v>6.2999999999999989</v>
      </c>
      <c r="D83" s="74" t="s">
        <v>69</v>
      </c>
      <c r="E83" s="75"/>
      <c r="F83" s="76"/>
      <c r="G83" s="4"/>
    </row>
    <row r="84" spans="2:7" x14ac:dyDescent="0.25">
      <c r="B84" s="3"/>
      <c r="C84" s="52">
        <f t="shared" si="6"/>
        <v>6.3999999999999986</v>
      </c>
      <c r="D84" s="17" t="s">
        <v>65</v>
      </c>
      <c r="E84" s="43"/>
      <c r="F84" s="44"/>
      <c r="G84" s="4"/>
    </row>
    <row r="85" spans="2:7" x14ac:dyDescent="0.25">
      <c r="B85" s="3"/>
      <c r="C85" s="70">
        <f t="shared" si="6"/>
        <v>6.4999999999999982</v>
      </c>
      <c r="D85" s="77" t="s">
        <v>29</v>
      </c>
      <c r="E85" s="78"/>
      <c r="F85" s="73"/>
      <c r="G85" s="4"/>
    </row>
    <row r="86" spans="2:7" x14ac:dyDescent="0.25">
      <c r="B86" s="3"/>
      <c r="C86" s="52">
        <f t="shared" si="6"/>
        <v>6.5999999999999979</v>
      </c>
      <c r="D86" s="18" t="s">
        <v>30</v>
      </c>
      <c r="E86" s="46"/>
      <c r="F86" s="45"/>
      <c r="G86" s="4"/>
    </row>
    <row r="87" spans="2:7" x14ac:dyDescent="0.25">
      <c r="B87" s="3"/>
      <c r="C87" s="70">
        <f t="shared" si="6"/>
        <v>6.6999999999999975</v>
      </c>
      <c r="D87" s="71" t="s">
        <v>70</v>
      </c>
      <c r="E87" s="78"/>
      <c r="F87" s="73"/>
      <c r="G87" s="4"/>
    </row>
    <row r="88" spans="2:7" x14ac:dyDescent="0.25">
      <c r="B88" s="3"/>
      <c r="C88" s="52">
        <f t="shared" si="6"/>
        <v>6.7999999999999972</v>
      </c>
      <c r="D88" s="14" t="s">
        <v>71</v>
      </c>
      <c r="E88" s="46"/>
      <c r="F88" s="45"/>
      <c r="G88" s="4"/>
    </row>
    <row r="89" spans="2:7" x14ac:dyDescent="0.25">
      <c r="B89" s="3"/>
      <c r="C89" s="70">
        <f t="shared" si="6"/>
        <v>6.8999999999999968</v>
      </c>
      <c r="D89" s="71" t="s">
        <v>79</v>
      </c>
      <c r="E89" s="78"/>
      <c r="F89" s="73"/>
      <c r="G89" s="4"/>
    </row>
    <row r="90" spans="2:7" x14ac:dyDescent="0.25">
      <c r="B90" s="3"/>
      <c r="C90" s="52">
        <v>6.91</v>
      </c>
      <c r="D90" s="15" t="s">
        <v>66</v>
      </c>
      <c r="E90" s="46"/>
      <c r="F90" s="45"/>
      <c r="G90" s="4"/>
    </row>
    <row r="91" spans="2:7" ht="15.75" thickBot="1" x14ac:dyDescent="0.3">
      <c r="B91" s="5"/>
      <c r="C91" s="47"/>
      <c r="D91" s="47"/>
      <c r="E91" s="47"/>
      <c r="F91" s="47"/>
      <c r="G91" s="6"/>
    </row>
    <row r="92" spans="2:7" s="57" customFormat="1" x14ac:dyDescent="0.25"/>
    <row r="93" spans="2:7" s="57" customFormat="1" x14ac:dyDescent="0.25"/>
    <row r="94" spans="2:7" s="57" customFormat="1" x14ac:dyDescent="0.25"/>
    <row r="95" spans="2:7" s="57" customFormat="1" x14ac:dyDescent="0.25"/>
    <row r="96" spans="2:7" s="57" customFormat="1" x14ac:dyDescent="0.25"/>
    <row r="97" s="57" customFormat="1" x14ac:dyDescent="0.25"/>
    <row r="98" s="57" customFormat="1" x14ac:dyDescent="0.25"/>
    <row r="99" s="57" customFormat="1" x14ac:dyDescent="0.25"/>
    <row r="100" s="57" customFormat="1" x14ac:dyDescent="0.25"/>
    <row r="101" s="57" customFormat="1" x14ac:dyDescent="0.25"/>
    <row r="102" s="57" customFormat="1" x14ac:dyDescent="0.25"/>
    <row r="103" s="57" customFormat="1" x14ac:dyDescent="0.25"/>
    <row r="104" s="57" customFormat="1" x14ac:dyDescent="0.25"/>
    <row r="105" s="57" customFormat="1" x14ac:dyDescent="0.25"/>
    <row r="106" s="57" customFormat="1" x14ac:dyDescent="0.25"/>
    <row r="107" s="57" customFormat="1" x14ac:dyDescent="0.25"/>
    <row r="108" s="57" customFormat="1" x14ac:dyDescent="0.25"/>
    <row r="109" s="57" customFormat="1" x14ac:dyDescent="0.25"/>
    <row r="110" s="57" customFormat="1" x14ac:dyDescent="0.25"/>
    <row r="111" s="57" customFormat="1" x14ac:dyDescent="0.25"/>
    <row r="112" s="57" customFormat="1" x14ac:dyDescent="0.25"/>
    <row r="113" s="57" customFormat="1" x14ac:dyDescent="0.25"/>
    <row r="114" s="57" customFormat="1" x14ac:dyDescent="0.25"/>
    <row r="115" s="57" customFormat="1" x14ac:dyDescent="0.25"/>
    <row r="116" s="57" customFormat="1" x14ac:dyDescent="0.25"/>
    <row r="117" s="57" customFormat="1" x14ac:dyDescent="0.25"/>
    <row r="118" s="57" customFormat="1" x14ac:dyDescent="0.25"/>
    <row r="119" s="57" customFormat="1" x14ac:dyDescent="0.25"/>
    <row r="120" s="57" customFormat="1" x14ac:dyDescent="0.25"/>
    <row r="121" s="57" customFormat="1" x14ac:dyDescent="0.25"/>
    <row r="122" s="57" customFormat="1" x14ac:dyDescent="0.25"/>
    <row r="123" s="57" customFormat="1" x14ac:dyDescent="0.25"/>
    <row r="124" s="57" customFormat="1" x14ac:dyDescent="0.25"/>
    <row r="125" s="57" customFormat="1" x14ac:dyDescent="0.25"/>
    <row r="126" s="57" customFormat="1" x14ac:dyDescent="0.25"/>
    <row r="127" s="57" customFormat="1" x14ac:dyDescent="0.25"/>
    <row r="128" s="57" customFormat="1" x14ac:dyDescent="0.25"/>
    <row r="129" s="57" customFormat="1" x14ac:dyDescent="0.25"/>
    <row r="130" s="57" customFormat="1" x14ac:dyDescent="0.25"/>
    <row r="131" s="57" customFormat="1" x14ac:dyDescent="0.25"/>
    <row r="132" s="57" customFormat="1" x14ac:dyDescent="0.25"/>
    <row r="133" s="57" customFormat="1" x14ac:dyDescent="0.25"/>
    <row r="134" s="57" customFormat="1" x14ac:dyDescent="0.25"/>
    <row r="135" s="57" customFormat="1" x14ac:dyDescent="0.25"/>
    <row r="136" s="57" customFormat="1" x14ac:dyDescent="0.25"/>
    <row r="137" s="57" customFormat="1" x14ac:dyDescent="0.25"/>
    <row r="138" s="57" customFormat="1" x14ac:dyDescent="0.25"/>
    <row r="139" s="57" customFormat="1" x14ac:dyDescent="0.25"/>
    <row r="140" s="57" customFormat="1" x14ac:dyDescent="0.25"/>
    <row r="141" s="57" customFormat="1" x14ac:dyDescent="0.25"/>
    <row r="142" s="57" customFormat="1" x14ac:dyDescent="0.25"/>
    <row r="143" s="57" customFormat="1" x14ac:dyDescent="0.25"/>
    <row r="144" s="57" customFormat="1" x14ac:dyDescent="0.25"/>
    <row r="145" s="57" customFormat="1" x14ac:dyDescent="0.25"/>
    <row r="146" s="57" customFormat="1" x14ac:dyDescent="0.25"/>
    <row r="147" s="57" customFormat="1" x14ac:dyDescent="0.25"/>
    <row r="148" s="57" customFormat="1" x14ac:dyDescent="0.25"/>
    <row r="149" s="57" customFormat="1" x14ac:dyDescent="0.25"/>
    <row r="150" s="57" customFormat="1" x14ac:dyDescent="0.25"/>
    <row r="151" s="57" customFormat="1" x14ac:dyDescent="0.25"/>
    <row r="152" s="57" customFormat="1" x14ac:dyDescent="0.25"/>
    <row r="153" s="57" customFormat="1" x14ac:dyDescent="0.25"/>
    <row r="154" s="57" customFormat="1" x14ac:dyDescent="0.25"/>
    <row r="155" s="57" customFormat="1" x14ac:dyDescent="0.25"/>
    <row r="156" s="57" customFormat="1" x14ac:dyDescent="0.25"/>
    <row r="157" s="57" customFormat="1" x14ac:dyDescent="0.25"/>
    <row r="158" s="57" customFormat="1" x14ac:dyDescent="0.25"/>
    <row r="159" s="57" customFormat="1" x14ac:dyDescent="0.25"/>
    <row r="160" s="57" customFormat="1" x14ac:dyDescent="0.25"/>
    <row r="161" s="57" customFormat="1" x14ac:dyDescent="0.25"/>
    <row r="162" s="57" customFormat="1" x14ac:dyDescent="0.25"/>
    <row r="163" s="57" customFormat="1" x14ac:dyDescent="0.25"/>
    <row r="164" s="57" customFormat="1" x14ac:dyDescent="0.25"/>
    <row r="165" s="57" customFormat="1" x14ac:dyDescent="0.25"/>
    <row r="166" s="57" customFormat="1" x14ac:dyDescent="0.25"/>
    <row r="167" s="57" customFormat="1" x14ac:dyDescent="0.25"/>
    <row r="168" s="57" customFormat="1" x14ac:dyDescent="0.25"/>
    <row r="169" s="57" customFormat="1" x14ac:dyDescent="0.25"/>
    <row r="170" s="57" customFormat="1" x14ac:dyDescent="0.25"/>
    <row r="171" s="57" customFormat="1" x14ac:dyDescent="0.25"/>
    <row r="172" s="57" customFormat="1" x14ac:dyDescent="0.25"/>
    <row r="173" s="57" customFormat="1" x14ac:dyDescent="0.25"/>
    <row r="174" s="57" customFormat="1" x14ac:dyDescent="0.25"/>
    <row r="175" s="57" customFormat="1" x14ac:dyDescent="0.25"/>
    <row r="176" s="57" customFormat="1" x14ac:dyDescent="0.25"/>
    <row r="177" s="57" customFormat="1" x14ac:dyDescent="0.25"/>
    <row r="178" s="57" customFormat="1" x14ac:dyDescent="0.25"/>
    <row r="179" s="57" customFormat="1" x14ac:dyDescent="0.25"/>
    <row r="180" s="57" customFormat="1" x14ac:dyDescent="0.25"/>
    <row r="181" s="57" customFormat="1" x14ac:dyDescent="0.25"/>
    <row r="182" s="57" customFormat="1" x14ac:dyDescent="0.25"/>
    <row r="183" s="57" customFormat="1" x14ac:dyDescent="0.25"/>
    <row r="184" s="57" customFormat="1" x14ac:dyDescent="0.25"/>
    <row r="185" s="57" customFormat="1" x14ac:dyDescent="0.25"/>
    <row r="186" s="57" customFormat="1" x14ac:dyDescent="0.25"/>
  </sheetData>
  <phoneticPr fontId="5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5f259f-045a-4b2e-af16-84d690607a37">
      <Terms xmlns="http://schemas.microsoft.com/office/infopath/2007/PartnerControls"/>
    </lcf76f155ced4ddcb4097134ff3c332f>
    <TaxCatchAll xmlns="8e0f5093-a1b1-42aa-aa2f-529ed471b23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2C864D6363474C8329B1903A7806BF" ma:contentTypeVersion="12" ma:contentTypeDescription="Create a new document." ma:contentTypeScope="" ma:versionID="979cab4f220cf04739dd6fa7da382c81">
  <xsd:schema xmlns:xsd="http://www.w3.org/2001/XMLSchema" xmlns:xs="http://www.w3.org/2001/XMLSchema" xmlns:p="http://schemas.microsoft.com/office/2006/metadata/properties" xmlns:ns2="735f259f-045a-4b2e-af16-84d690607a37" xmlns:ns3="8e0f5093-a1b1-42aa-aa2f-529ed471b239" targetNamespace="http://schemas.microsoft.com/office/2006/metadata/properties" ma:root="true" ma:fieldsID="321865d1ac28010f2cd3a9739941b1fc" ns2:_="" ns3:_="">
    <xsd:import namespace="735f259f-045a-4b2e-af16-84d690607a37"/>
    <xsd:import namespace="8e0f5093-a1b1-42aa-aa2f-529ed471b2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f259f-045a-4b2e-af16-84d690607a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4ea6dcb-0959-4391-b010-9e3f5b8cca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0f5093-a1b1-42aa-aa2f-529ed471b2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9b9758-0ba3-4b50-96d4-a745f7fed6e7}" ma:internalName="TaxCatchAll" ma:showField="CatchAllData" ma:web="8e0f5093-a1b1-42aa-aa2f-529ed471b2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763241-2A64-42D7-B2AF-9B7E3C684905}">
  <ds:schemaRefs>
    <ds:schemaRef ds:uri="http://schemas.microsoft.com/office/2006/metadata/properties"/>
    <ds:schemaRef ds:uri="http://schemas.microsoft.com/office/infopath/2007/PartnerControls"/>
    <ds:schemaRef ds:uri="735f259f-045a-4b2e-af16-84d690607a37"/>
    <ds:schemaRef ds:uri="8e0f5093-a1b1-42aa-aa2f-529ed471b239"/>
  </ds:schemaRefs>
</ds:datastoreItem>
</file>

<file path=customXml/itemProps2.xml><?xml version="1.0" encoding="utf-8"?>
<ds:datastoreItem xmlns:ds="http://schemas.openxmlformats.org/officeDocument/2006/customXml" ds:itemID="{82A15764-9EEF-42DC-B28C-32D0DACE02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5f259f-045a-4b2e-af16-84d690607a37"/>
    <ds:schemaRef ds:uri="8e0f5093-a1b1-42aa-aa2f-529ed471b2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B4450C-BF7D-4DE2-AA7A-801778772B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Clinton GGC</dc:creator>
  <cp:lastModifiedBy>Clinton GGC</cp:lastModifiedBy>
  <dcterms:created xsi:type="dcterms:W3CDTF">2026-01-16T02:37:33Z</dcterms:created>
  <dcterms:modified xsi:type="dcterms:W3CDTF">2026-08-20T02:02:39Z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0x010100B52C864D6363474C8329B1903A7806BF</vt:lpwstr>
  </property>
  <property fmtid="{D5CDD505-2E9C-101B-9397-08002B2CF9AE}" pid="3" name="MediaServiceImageTags">
    <vt:lpwstr/>
  </property>
</Properties>
</file>