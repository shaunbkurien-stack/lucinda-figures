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515d130dd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ver" sheetId="1" r:id="R7f572697bc174324"/>
    <x:sheet xmlns:r="http://schemas.openxmlformats.org/officeDocument/2006/relationships" name="01 Sources" sheetId="2" r:id="R8db1658933bb4663"/>
    <x:sheet xmlns:r="http://schemas.openxmlformats.org/officeDocument/2006/relationships" name="02 Proposal Compliance" sheetId="3" r:id="R9537c469bc0846e1"/>
    <x:sheet xmlns:r="http://schemas.openxmlformats.org/officeDocument/2006/relationships" name="03 Assumptions" sheetId="4" r:id="R54390263ef6e46f7"/>
    <x:sheet xmlns:r="http://schemas.openxmlformats.org/officeDocument/2006/relationships" name="04 Scope &amp; Rates" sheetId="5" r:id="Rbc548a3e351a45b7"/>
    <x:sheet xmlns:r="http://schemas.openxmlformats.org/officeDocument/2006/relationships" name="05 AAB Claims" sheetId="6" r:id="R3d5e6d66c244437a"/>
    <x:sheet xmlns:r="http://schemas.openxmlformats.org/officeDocument/2006/relationships" name="06 AAB Programme" sheetId="7" r:id="R3495f5be20c245ba"/>
    <x:sheet xmlns:r="http://schemas.openxmlformats.org/officeDocument/2006/relationships" name="07 Current Baseline" sheetId="8" r:id="R7e8cbd799f654224"/>
    <x:sheet xmlns:r="http://schemas.openxmlformats.org/officeDocument/2006/relationships" name="08 Options MCA" sheetId="9" r:id="Raf5593a681844866"/>
    <x:sheet xmlns:r="http://schemas.openxmlformats.org/officeDocument/2006/relationships" name="09 Preferred WBS" sheetId="10" r:id="Rd8447531542b4273"/>
    <x:sheet xmlns:r="http://schemas.openxmlformats.org/officeDocument/2006/relationships" name="10 Cycle Model" sheetId="11" r:id="R5ed677b775394011"/>
    <x:sheet xmlns:r="http://schemas.openxmlformats.org/officeDocument/2006/relationships" name="11 Fleet Sensitivity" sheetId="12" r:id="R1acecb01f6064ae7"/>
    <x:sheet xmlns:r="http://schemas.openxmlformats.org/officeDocument/2006/relationships" name="12 Marine Logistics" sheetId="13" r:id="R999c87e30470413b"/>
    <x:sheet xmlns:r="http://schemas.openxmlformats.org/officeDocument/2006/relationships" name="13 Rate Register" sheetId="14" r:id="Rbcc1c0d9e07c4f14"/>
    <x:sheet xmlns:r="http://schemas.openxmlformats.org/officeDocument/2006/relationships" name="14 Cost Model" sheetId="15" r:id="R2eb1c474c91a4e54"/>
    <x:sheet xmlns:r="http://schemas.openxmlformats.org/officeDocument/2006/relationships" name="15 Programme" sheetId="16" r:id="R01b974fe4a7a4199"/>
    <x:sheet xmlns:r="http://schemas.openxmlformats.org/officeDocument/2006/relationships" name="16 Comparison" sheetId="17" r:id="Ref1d1f1bfb114389"/>
    <x:sheet xmlns:r="http://schemas.openxmlformats.org/officeDocument/2006/relationships" name="17 Risks &amp; Gates" sheetId="18" r:id="Rfbf3424e96b94825"/>
    <x:sheet xmlns:r="http://schemas.openxmlformats.org/officeDocument/2006/relationships" name="18 Dashboard" sheetId="19" r:id="R283d25ed03874124"/>
    <x:sheet xmlns:r="http://schemas.openxmlformats.org/officeDocument/2006/relationships" name="19 Cost Sensitivity" sheetId="20" r:id="Ra1547cabdc2e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%"/>
    <x:numFmt numFmtId="201" formatCode="0.00"/>
    <x:numFmt numFmtId="202" formatCode="$#,##0.00"/>
    <x:numFmt numFmtId="203" formatCode="dd mmm yyyy"/>
    <x:numFmt numFmtId="204" formatCode="0.0"/>
    <x:numFmt numFmtId="205" formatCode="0"/>
    <x:numFmt numFmtId="206" formatCode="mmm-yy"/>
  </x:numFmts>
  <x:fonts count="9">
    <x:font>
      <x:sz val="11"/>
      <x:name val="Carlito"/>
    </x:font>
    <x:font>
      <x:b/>
      <x:sz val="16"/>
      <x:color rgb="FFFFFFFF"/>
      <x:name val="Calibri"/>
    </x:font>
    <x:font>
      <x:i/>
      <x:sz val="10"/>
      <x:color rgb="FF2F3437"/>
      <x:name val="Calibri"/>
    </x:font>
    <x:font>
      <x:b/>
      <x:sz val="10"/>
      <x:color rgb="FFFFFFFF"/>
      <x:name val="Calibri"/>
    </x:font>
    <x:font>
      <x:sz val="10"/>
      <x:color rgb="FF2F3437"/>
      <x:name val="Calibri"/>
    </x:font>
    <x:font>
      <x:i/>
      <x:sz val="9"/>
      <x:color rgb="FF2F3437"/>
      <x:name val="Calibri"/>
    </x:font>
    <x:font>
      <x:b/>
      <x:sz val="10"/>
      <x:color rgb="FF2F3437"/>
      <x:name val="Calibri"/>
    </x:font>
    <x:font>
      <x:b/>
      <x:sz val="8"/>
      <x:color rgb="FFFFFFFF"/>
      <x:name val="Calibri"/>
    </x:font>
    <x:font>
      <x:b/>
      <x:sz val="9"/>
      <x:color rgb="FF3E6B5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2F3437"/>
      </x:patternFill>
    </x:fill>
    <x:fill>
      <x:patternFill patternType="solid">
        <x:fgColor rgb="FFFCE9DD"/>
      </x:patternFill>
    </x:fill>
    <x:fill>
      <x:patternFill patternType="solid">
        <x:fgColor rgb="FFD9682A"/>
      </x:patternFill>
    </x:fill>
    <x:fill>
      <x:patternFill patternType="solid">
        <x:fgColor rgb="FFDCEAF3"/>
      </x:patternFill>
    </x:fill>
    <x:fill>
      <x:patternFill patternType="solid">
        <x:fgColor rgb="FFFFF2CC"/>
      </x:patternFill>
    </x:fill>
    <x:fill>
      <x:patternFill patternType="solid">
        <x:fgColor rgb="FFD9DEE2"/>
      </x:patternFill>
    </x:fill>
    <x:fill>
      <x:patternFill patternType="solid">
        <x:fgColor rgb="FFE7F0EB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0" fontId="6" fillId="6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202" fontId="6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202" fontId="6" fillId="7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7" borderId="0" xfId="0" applyNumberFormat="1" applyFont="1" applyFill="1" applyBorder="1" applyAlignment="1">
      <x:alignment vertical="top" wrapText="1"/>
    </x:xf>
    <x:xf numFmtId="201" fontId="4" fillId="7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201" fontId="6" fillId="7" borderId="0" xfId="0" applyNumberFormat="1" applyFont="1" applyFill="1" applyBorder="1" applyAlignment="1">
      <x:alignment vertical="top" wrapText="1"/>
    </x:xf>
    <x:xf numFmtId="203" fontId="4" fillId="7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3" fontId="6" fillId="7" borderId="1" xfId="0" applyNumberFormat="1" applyFont="1" applyFill="1" applyBorder="1" applyAlignment="1">
      <x:alignment vertical="top" wrapText="1"/>
    </x:xf>
    <x:xf numFmtId="201" fontId="6" fillId="7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2" fontId="4" fillId="6" borderId="0" xfId="0" applyNumberFormat="1" applyFont="1" applyFill="1" applyBorder="1" applyAlignment="1">
      <x:alignment vertical="top" wrapText="1"/>
    </x:xf>
    <x:xf numFmtId="202" fontId="6" fillId="6" borderId="0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2" fontId="6" fillId="6" borderId="1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200" fontId="6" fillId="7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2" fontId="6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2" fontId="4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202" fontId="6" fillId="3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206" fontId="7" fillId="4" borderId="0" xfId="0" applyNumberFormat="1" applyFont="1" applyFill="1" applyBorder="1" applyAlignment="1">
      <x:alignment horizontal="center" vertical="center"/>
    </x:xf>
    <x:xf numFmtId="206" fontId="7" fillId="4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 applyAlignment="1">
      <x:alignment vertical="top" wrapText="1"/>
    </x:xf>
    <x:xf numFmtId="201" fontId="6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83ee9ad7c4487" /><Relationship Type="http://schemas.openxmlformats.org/officeDocument/2006/relationships/theme" Target="/xl/theme/theme1.xml" Id="R600cd65665f54da2" /><Relationship Type="http://schemas.openxmlformats.org/officeDocument/2006/relationships/sharedStrings" Target="/xl/sharedStrings.xml" Id="Rbb58f2968e1347a4" /><Relationship Type="http://schemas.openxmlformats.org/officeDocument/2006/relationships/worksheet" Target="/xl/worksheets/sheet1.xml" Id="R7f572697bc174324" /><Relationship Type="http://schemas.openxmlformats.org/officeDocument/2006/relationships/worksheet" Target="/xl/worksheets/sheet2.xml" Id="R8db1658933bb4663" /><Relationship Type="http://schemas.openxmlformats.org/officeDocument/2006/relationships/worksheet" Target="/xl/worksheets/sheet3.xml" Id="R9537c469bc0846e1" /><Relationship Type="http://schemas.openxmlformats.org/officeDocument/2006/relationships/worksheet" Target="/xl/worksheets/sheet4.xml" Id="R54390263ef6e46f7" /><Relationship Type="http://schemas.openxmlformats.org/officeDocument/2006/relationships/worksheet" Target="/xl/worksheets/sheet5.xml" Id="Rbc548a3e351a45b7" /><Relationship Type="http://schemas.openxmlformats.org/officeDocument/2006/relationships/worksheet" Target="/xl/worksheets/sheet6.xml" Id="R3d5e6d66c244437a" /><Relationship Type="http://schemas.openxmlformats.org/officeDocument/2006/relationships/worksheet" Target="/xl/worksheets/sheet7.xml" Id="R3495f5be20c245ba" /><Relationship Type="http://schemas.openxmlformats.org/officeDocument/2006/relationships/worksheet" Target="/xl/worksheets/sheet8.xml" Id="R7e8cbd799f654224" /><Relationship Type="http://schemas.openxmlformats.org/officeDocument/2006/relationships/worksheet" Target="/xl/worksheets/sheet9.xml" Id="Raf5593a681844866" /><Relationship Type="http://schemas.openxmlformats.org/officeDocument/2006/relationships/worksheet" Target="/xl/worksheets/sheet10.xml" Id="Rd8447531542b4273" /><Relationship Type="http://schemas.openxmlformats.org/officeDocument/2006/relationships/worksheet" Target="/xl/worksheets/sheet11.xml" Id="R5ed677b775394011" /><Relationship Type="http://schemas.openxmlformats.org/officeDocument/2006/relationships/worksheet" Target="/xl/worksheets/sheet12.xml" Id="R1acecb01f6064ae7" /><Relationship Type="http://schemas.openxmlformats.org/officeDocument/2006/relationships/worksheet" Target="/xl/worksheets/sheet13.xml" Id="R999c87e30470413b" /><Relationship Type="http://schemas.openxmlformats.org/officeDocument/2006/relationships/worksheet" Target="/xl/worksheets/sheet14.xml" Id="Rbcc1c0d9e07c4f14" /><Relationship Type="http://schemas.openxmlformats.org/officeDocument/2006/relationships/worksheet" Target="/xl/worksheets/sheet15.xml" Id="R2eb1c474c91a4e54" /><Relationship Type="http://schemas.openxmlformats.org/officeDocument/2006/relationships/worksheet" Target="/xl/worksheets/sheet16.xml" Id="R01b974fe4a7a4199" /><Relationship Type="http://schemas.openxmlformats.org/officeDocument/2006/relationships/worksheet" Target="/xl/worksheets/sheet17.xml" Id="Ref1d1f1bfb114389" /><Relationship Type="http://schemas.openxmlformats.org/officeDocument/2006/relationships/worksheet" Target="/xl/worksheets/sheet18.xml" Id="Rfbf3424e96b94825" /><Relationship Type="http://schemas.openxmlformats.org/officeDocument/2006/relationships/worksheet" Target="/xl/worksheets/sheet19.xml" Id="R283d25ed03874124" /><Relationship Type="http://schemas.openxmlformats.org/officeDocument/2006/relationships/worksheet" Target="/xl/worksheets/sheet20.xml" Id="Ra1547cabdc2e40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2164bdb62340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5cae94fb507431c" /><Relationship Type="http://schemas.openxmlformats.org/officeDocument/2006/relationships/chart" Target="/xl/drawings/charts/chart3.xml" Id="R5de978a979b24e0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32066c5ead2422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Score / 100</c:v>
          </c:tx>
          <c:cat>
            <c:strRef>
              <c:f>'08 Options MCA'!$C$4:$H$4</c:f>
              <c:strCache>
                <c:ptCount val="0"/>
              </c:strCache>
            </c:strRef>
          </c:cat>
          <c:val>
            <c:numRef>
              <c:f>'08 Options MCA'!$C$16:$H$16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Low cycle</c:v>
          </c:tx>
          <c:cat>
            <c:strRef>
              <c:f>'11 Fleet Sensitivity'!$A$5:$A$23</c:f>
              <c:strCache>
                <c:ptCount val="0"/>
              </c:strCache>
            </c:strRef>
          </c:cat>
          <c:val>
            <c:numRef>
              <c:f>'11 Fleet Sensitivity'!$B$5:$B$23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 cycle</c:v>
          </c:tx>
          <c:cat>
            <c:strRef>
              <c:f>'11 Fleet Sensitivity'!$A$5:$A$23</c:f>
              <c:strCache>
                <c:ptCount val="0"/>
              </c:strCache>
            </c:strRef>
          </c:cat>
          <c:val>
            <c:numRef>
              <c:f>'11 Fleet Sensitivity'!$C$5:$C$23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High cycle</c:v>
          </c:tx>
          <c:cat>
            <c:strRef>
              <c:f>'11 Fleet Sensitivity'!$A$5:$A$23</c:f>
              <c:strCache>
                <c:ptCount val="0"/>
              </c:strCache>
            </c:strRef>
          </c:cat>
          <c:val>
            <c:numRef>
              <c:f>'11 Fleet Sensitivity'!$D$5:$D$23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Stress target</c:v>
          </c:tx>
          <c:cat>
            <c:strRef>
              <c:f>'11 Fleet Sensitivity'!$A$5:$A$23</c:f>
              <c:strCache>
                <c:ptCount val="0"/>
              </c:strCache>
            </c:strRef>
          </c:cat>
          <c:val>
            <c:numRef>
              <c:f>'11 Fleet Sensitivity'!$E$5:$E$23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Claimed total</c:v>
          </c:tx>
          <c:cat>
            <c:strRef>
              <c:f>'05 AAB Claims'!$A$5:$A$9</c:f>
              <c:strCache>
                <c:ptCount val="0"/>
              </c:strCache>
            </c:strRef>
          </c:cat>
          <c:val>
            <c:numRef>
              <c:f>'05 AAB Claims'!$H$5:$H$9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AUD</c:v>
          </c:tx>
          <c:cat>
            <c:strRef>
              <c:f>'19 Cost Sensitivity'!$B$4:$D$4</c:f>
              <c:strCache>
                <c:ptCount val="0"/>
              </c:strCache>
            </c:strRef>
          </c:cat>
          <c:val>
            <c:numRef>
              <c:f>'19 Cost Sensitivity'!$B$8:$D$8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164bdb62340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cae94fb507431c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978a979b24e0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2066c5ead242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0a699d3d56e421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76d3e3f6fc404c6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3.xml" Id="R793b7e481aee4b7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3" hidden="0" customWidth="1"/>
    <x:col min="5" max="5" width="24" hidden="0" customWidth="1"/>
    <x:col min="6" max="6" width="38" hidden="0" customWidth="1"/>
    <x:col min="7" max="7" width="30" hidden="0" customWidth="1"/>
    <x:col min="8" max="8" width="3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Lucinda Bulk Sugar Terminal - Stage 1 Access Methodology Model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2" t="str">
        <x:v>Independent working model for option selection. AUD ex GST. Not a budget commitment or construction design.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Field</x:v>
      </x:c>
      <x:c r="B4" s="20" t="str">
        <x:v>Value</x:v>
      </x:c>
      <x:c r="C4" s="20" t="str">
        <x:v>Basis / status</x:v>
      </x:c>
      <x:c r="E4" s="20" t="str">
        <x:v>Decision</x:v>
      </x:c>
      <x:c r="F4" s="20" t="str">
        <x:v>Current position</x:v>
      </x:c>
      <x:c r="G4" s="20" t="str">
        <x:v>Evidence status</x:v>
      </x:c>
    </x:row>
    <x:row r="5">
      <x:c r="A5" s="28" t="str">
        <x:v>Project</x:v>
      </x:c>
      <x:c r="B5" s="28" t="str">
        <x:v>Jetty Pile and Headstock Remediation Works</x:v>
      </x:c>
      <x:c r="C5" s="28" t="str">
        <x:v>QSL-LBST-JPHR2025</x:v>
      </x:c>
      <x:c r="E5" s="28" t="str">
        <x:v>Preferred concept</x:v>
      </x:c>
      <x:c r="F5" s="28" t="str">
        <x:v>Hybrid: floating suspended platforms for typical bents; conventional/hybrid access for non-typical bents</x:v>
      </x:c>
      <x:c r="G5" s="28" t="str">
        <x:v>Candidate, not yet proven</x:v>
      </x:c>
    </x:row>
    <x:row r="6">
      <x:c r="A6" s="28" t="str">
        <x:v>Engagement</x:v>
      </x:c>
      <x:c r="B6" s="28" t="str">
        <x:v>Stage 1 Access Methodology Options Assessment</x:v>
      </x:c>
      <x:c r="C6" s="28" t="str">
        <x:v>ED-018-2026-01</x:v>
      </x:c>
      <x:c r="E6" s="28" t="str">
        <x:v>Proving fleet</x:v>
      </x:c>
      <x:c r="F6" s="28" t="str">
        <x:v>Two complete access sets</x:v>
      </x:c>
      <x:c r="G6" s="28" t="str">
        <x:v>Recommended for trial only</x:v>
      </x:c>
    </x:row>
    <x:row r="7">
      <x:c r="A7" s="28" t="str">
        <x:v>Model issue</x:v>
      </x:c>
      <x:c r="B7" s="28" t="str">
        <x:v>Rev A - working draft</x:v>
      </x:c>
      <x:c r="C7" s="28" t="str">
        <x:v>Prepared 20 August 2026</x:v>
      </x:c>
      <x:c r="E7" s="28" t="str">
        <x:v>Production fleet</x:v>
      </x:c>
      <x:c r="F7" s="28" t="str">
        <x:v>Model output, not preselected</x:v>
      </x:c>
      <x:c r="G7" s="28" t="str">
        <x:v>Depends on cycle, repair library, weld rate and service architecture</x:v>
      </x:c>
    </x:row>
    <x:row r="8">
      <x:c r="A8" s="28" t="str">
        <x:v>Purpose</x:v>
      </x:c>
      <x:c r="B8" s="28" t="str">
        <x:v>Compare current scaffold access with candidate marine access options</x:v>
      </x:c>
      <x:c r="C8" s="28" t="str">
        <x:v>Indicative option selection only</x:v>
      </x:c>
      <x:c r="E8" s="28" t="str">
        <x:v>GGC monetary quote</x:v>
      </x:c>
      <x:c r="F8" s="28" t="str">
        <x:v>No written monetary quote identified in the organised source folder</x:v>
      </x:c>
      <x:c r="G8" s="28" t="str">
        <x:v>Input required before commercial recommendation</x:v>
      </x:c>
    </x:row>
    <x:row r="9">
      <x:c r="A9" s="28" t="str">
        <x:v>Cost basis</x:v>
      </x:c>
      <x:c r="B9" s="28" t="str">
        <x:v>AUD ex GST</x:v>
      </x:c>
      <x:c r="C9" s="28" t="str">
        <x:v>Supplier monetary rates remain partly unverified</x:v>
      </x:c>
      <x:c r="E9" s="28" t="str">
        <x:v>JUB selection</x:v>
      </x:c>
      <x:c r="F9" s="28" t="str">
        <x:v>No unit selected</x:v>
      </x:c>
      <x:c r="G9" s="28" t="str">
        <x:v>Bathymetry, reach, refuge, rate and deck/service capacity required</x:v>
      </x:c>
    </x:row>
    <x:row r="10">
      <x:c r="A10" s="28" t="str">
        <x:v>Completion definition</x:v>
      </x:c>
      <x:c r="B10" s="28" t="str">
        <x:v>QA-closed bent</x:v>
      </x:c>
      <x:c r="C10" s="28" t="str">
        <x:v>Not payment-stage equivalents</x:v>
      </x:c>
      <x:c r="E10" s="28"/>
      <x:c r="F10" s="28"/>
      <x:c r="G10" s="28"/>
    </x:row>
    <x:row r="11">
      <x:c r="A11" s="28" t="str">
        <x:v>Key limitation</x:v>
      </x:c>
      <x:c r="B11" s="28" t="str">
        <x:v>Current bent register and priority boundary not supplied</x:v>
      </x:c>
      <x:c r="C11" s="28" t="str">
        <x:v>227 bents retained as whole-scope stress case</x:v>
      </x:c>
    </x:row>
    <x:row r="12">
      <x:c r="A12" s="28"/>
      <x:c r="B12" s="28"/>
      <x:c r="C12" s="28"/>
    </x:row>
    <x:row r="15">
      <x:c r="A15" s="34" t="str">
        <x:v>USE OF MODEL: yellow cells are editable assumptions. Verified project values are distinguished from engineering allowances. Current claim quantities are not completed-bent output. The proposed cost model isolates common trade costs from access/marine costs to avoid double counting.</x:v>
      </x:c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</x:row>
  </x:sheetData>
  <x:mergeCells>
    <x:mergeCell ref="A1:J1"/>
    <x:mergeCell ref="A2:J2"/>
    <x:mergeCell ref="A15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14" hidden="0" customWidth="1"/>
    <x:col min="5" max="5" width="34" hidden="0" customWidth="1"/>
    <x:col min="6" max="6" width="18" hidden="0" customWidth="1"/>
    <x:col min="7" max="7" width="12" hidden="0" customWidth="1"/>
    <x:col min="8" max="8" width="38" hidden="0" customWidth="1"/>
    <x:col min="9" max="9" width="28" hidden="0" customWidth="1"/>
  </x:cols>
  <x:sheetData>
    <x:row r="1" ht="30" customHeight="1">
      <x:c r="A1" s="5" t="str">
        <x:v>Source Register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2" t="str">
        <x:v>Primary evidence used in the model and report. Source status controls how each figure may be used.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20" t="str">
        <x:v>ID</x:v>
      </x:c>
      <x:c r="B4" s="20" t="str">
        <x:v>Source</x:v>
      </x:c>
      <x:c r="C4" s="20" t="str">
        <x:v>Document / revision</x:v>
      </x:c>
      <x:c r="D4" s="20" t="str">
        <x:v>Date</x:v>
      </x:c>
      <x:c r="E4" s="20" t="str">
        <x:v>Role in assessment</x:v>
      </x:c>
      <x:c r="F4" s="20" t="str">
        <x:v>Status</x:v>
      </x:c>
      <x:c r="G4" s="20" t="str">
        <x:v>Accessible</x:v>
      </x:c>
      <x:c r="H4" s="20" t="str">
        <x:v>Key use</x:v>
      </x:c>
      <x:c r="I4" s="20" t="str">
        <x:v>Repository location</x:v>
      </x:c>
    </x:row>
    <x:row r="5">
      <x:c r="A5" s="28" t="str">
        <x:v>S01</x:v>
      </x:c>
      <x:c r="B5" s="28" t="str">
        <x:v>Endura proposal</x:v>
      </x:c>
      <x:c r="C5" s="28" t="str">
        <x:v>ED-018-2026-01 Rev A</x:v>
      </x:c>
      <x:c r="D5" s="28" t="str">
        <x:v>30 Jul 2026</x:v>
      </x:c>
      <x:c r="E5" s="28" t="str">
        <x:v>Engagement scope and deliverables</x:v>
      </x:c>
      <x:c r="F5" s="28" t="str">
        <x:v>Current</x:v>
      </x:c>
      <x:c r="G5" s="28" t="str">
        <x:v>Yes</x:v>
      </x:c>
      <x:c r="H5" s="28" t="str">
        <x:v>Required Stage 1 outputs</x:v>
      </x:c>
      <x:c r="I5" s="28" t="str">
        <x:v>Drive / Proposal</x:v>
      </x:c>
    </x:row>
    <x:row r="6">
      <x:c r="A6" s="28" t="str">
        <x:v>S02</x:v>
      </x:c>
      <x:c r="B6" s="28" t="str">
        <x:v>Executed contract and specification</x:v>
      </x:c>
      <x:c r="C6" s="28" t="str">
        <x:v>QSL-LBST-JPHR2025</x:v>
      </x:c>
      <x:c r="D6" s="28" t="str">
        <x:v>2025</x:v>
      </x:c>
      <x:c r="E6" s="28" t="str">
        <x:v>Scope, constraints, price schedule, coating and jacket requirements</x:v>
      </x:c>
      <x:c r="F6" s="28" t="str">
        <x:v>Current</x:v>
      </x:c>
      <x:c r="G6" s="28" t="str">
        <x:v>Yes</x:v>
      </x:c>
      <x:c r="H6" s="28" t="str">
        <x:v>Governing project basis</x:v>
      </x:c>
      <x:c r="I6" s="28" t="str">
        <x:v>Drive root</x:v>
      </x:c>
    </x:row>
    <x:row r="7">
      <x:c r="A7" s="28" t="str">
        <x:v>S03</x:v>
      </x:c>
      <x:c r="B7" s="28" t="str">
        <x:v>Contract construction programme</x:v>
      </x:c>
      <x:c r="C7" s="28" t="str">
        <x:v>Schedule.pdf / AAB Program June 2026</x:v>
      </x:c>
      <x:c r="D7" s="28" t="str">
        <x:v>Jun 2026</x:v>
      </x:c>
      <x:c r="E7" s="28" t="str">
        <x:v>Planned sequence and durations</x:v>
      </x:c>
      <x:c r="F7" s="28" t="str">
        <x:v>Working programme</x:v>
      </x:c>
      <x:c r="G7" s="28" t="str">
        <x:v>Partly</x:v>
      </x:c>
      <x:c r="H7" s="28" t="str">
        <x:v>Visible dates/durations; native logic not independently verified</x:v>
      </x:c>
      <x:c r="I7" s="28" t="str">
        <x:v>Drive root</x:v>
      </x:c>
    </x:row>
    <x:row r="8">
      <x:c r="A8" s="28" t="str">
        <x:v>S04</x:v>
      </x:c>
      <x:c r="B8" s="28" t="str">
        <x:v>AAB claim quantities</x:v>
      </x:c>
      <x:c r="C8" s="28" t="str">
        <x:v>AAB Claim Qty's.xlsx</x:v>
      </x:c>
      <x:c r="D8" s="28" t="str">
        <x:v>Jul 2026</x:v>
      </x:c>
      <x:c r="E8" s="28" t="str">
        <x:v>Claimed stage quantities March-July 2026</x:v>
      </x:c>
      <x:c r="F8" s="28" t="str">
        <x:v>Client-provided extract</x:v>
      </x:c>
      <x:c r="G8" s="28" t="str">
        <x:v>Yes</x:v>
      </x:c>
      <x:c r="H8" s="28" t="str">
        <x:v>Actual stage-output baseline</x:v>
      </x:c>
      <x:c r="I8" s="28" t="str">
        <x:v>Drive / AAB current progress</x:v>
      </x:c>
    </x:row>
    <x:row r="9">
      <x:c r="A9" s="28" t="str">
        <x:v>S05</x:v>
      </x:c>
      <x:c r="B9" s="28" t="str">
        <x:v>Inspection report</x:v>
      </x:c>
      <x:c r="C9" s="28" t="str">
        <x:v>20260710 JPHR inspection</x:v>
      </x:c>
      <x:c r="D9" s="28" t="str">
        <x:v>10 Jul 2026</x:v>
      </x:c>
      <x:c r="E9" s="28" t="str">
        <x:v>Workfront and quality observations</x:v>
      </x:c>
      <x:c r="F9" s="28" t="str">
        <x:v>Current record</x:v>
      </x:c>
      <x:c r="G9" s="28" t="str">
        <x:v>Yes</x:v>
      </x:c>
      <x:c r="H9" s="28" t="str">
        <x:v>Weather, scaffold backlog, lower-deck access</x:v>
      </x:c>
      <x:c r="I9" s="28" t="str">
        <x:v>Drive / Site reports</x:v>
      </x:c>
    </x:row>
    <x:row r="10">
      <x:c r="A10" s="28" t="str">
        <x:v>S06</x:v>
      </x:c>
      <x:c r="B10" s="28" t="str">
        <x:v>Inspection report</x:v>
      </x:c>
      <x:c r="C10" s="28" t="str">
        <x:v>20260715 JPHR inspection</x:v>
      </x:c>
      <x:c r="D10" s="28" t="str">
        <x:v>15 Jul 2026</x:v>
      </x:c>
      <x:c r="E10" s="28" t="str">
        <x:v>Workfront and quality observations</x:v>
      </x:c>
      <x:c r="F10" s="28" t="str">
        <x:v>Current record</x:v>
      </x:c>
      <x:c r="G10" s="28" t="str">
        <x:v>Yes</x:v>
      </x:c>
      <x:c r="H10" s="28" t="str">
        <x:v>Welders stood down, four fronts</x:v>
      </x:c>
      <x:c r="I10" s="28" t="str">
        <x:v>Drive / Site reports</x:v>
      </x:c>
    </x:row>
    <x:row r="11">
      <x:c r="A11" s="28" t="str">
        <x:v>S07</x:v>
      </x:c>
      <x:c r="B11" s="28" t="str">
        <x:v>Inspection report</x:v>
      </x:c>
      <x:c r="C11" s="28" t="str">
        <x:v>20260725 JPHR inspection</x:v>
      </x:c>
      <x:c r="D11" s="28" t="str">
        <x:v>25 Jul 2026</x:v>
      </x:c>
      <x:c r="E11" s="28" t="str">
        <x:v>Workfront and quality observations</x:v>
      </x:c>
      <x:c r="F11" s="28" t="str">
        <x:v>Current record</x:v>
      </x:c>
      <x:c r="G11" s="28" t="str">
        <x:v>Yes</x:v>
      </x:c>
      <x:c r="H11" s="28" t="str">
        <x:v>Two weld fronts, hidden defects, reblast, wave limits</x:v>
      </x:c>
      <x:c r="I11" s="28" t="str">
        <x:v>Drive / Site reports</x:v>
      </x:c>
    </x:row>
    <x:row r="12">
      <x:c r="A12" s="28" t="str">
        <x:v>S08</x:v>
      </x:c>
      <x:c r="B12" s="28" t="str">
        <x:v>Shoreline strategy report</x:v>
      </x:c>
      <x:c r="C12" s="28" t="str">
        <x:v>SCMC-22020-REP-001 Rev 1</x:v>
      </x:c>
      <x:c r="D12" s="28" t="str">
        <x:v>20 Mar 2023</x:v>
      </x:c>
      <x:c r="E12" s="28" t="str">
        <x:v>Historic constraint and option assessment</x:v>
      </x:c>
      <x:c r="F12" s="28" t="str">
        <x:v>Current reference</x:v>
      </x:c>
      <x:c r="G12" s="28" t="str">
        <x:v>Yes</x:v>
      </x:c>
      <x:c r="H12" s="28" t="str">
        <x:v>Multiple fronts, movable platforms, JUB and separate jacket team</x:v>
      </x:c>
      <x:c r="I12" s="28" t="str">
        <x:v>Drive / Summary report</x:v>
      </x:c>
    </x:row>
    <x:row r="13">
      <x:c r="A13" s="28" t="str">
        <x:v>S09</x:v>
      </x:c>
      <x:c r="B13" s="28" t="str">
        <x:v>Drawing package</x:v>
      </x:c>
      <x:c r="C13" s="28" t="str">
        <x:v>Original and Aurecon extracts</x:v>
      </x:c>
      <x:c r="D13" s="28" t="str">
        <x:v>Various</x:v>
      </x:c>
      <x:c r="E13" s="28" t="str">
        <x:v>Geometry, levels, bent families</x:v>
      </x:c>
      <x:c r="F13" s="28" t="str">
        <x:v>Project evidence</x:v>
      </x:c>
      <x:c r="G13" s="28" t="str">
        <x:v>Yes</x:v>
      </x:c>
      <x:c r="H13" s="28" t="str">
        <x:v>7.9 m headstock, 1:4 rake, HAT/LAT, roadway</x:v>
      </x:c>
      <x:c r="I13" s="28" t="str">
        <x:v>Drive / Drawing</x:v>
      </x:c>
    </x:row>
    <x:row r="14">
      <x:c r="A14" s="28" t="str">
        <x:v>S10</x:v>
      </x:c>
      <x:c r="B14" s="28" t="str">
        <x:v>GGC platform concept drawings</x:v>
      </x:c>
      <x:c r="C14" s="28" t="str">
        <x:v>4202.1 and 4202.2 Rev 0</x:v>
      </x:c>
      <x:c r="D14" s="28" t="str">
        <x:v>20 Jan 2025</x:v>
      </x:c>
      <x:c r="E14" s="28" t="str">
        <x:v>Supplier concept for suspended scaffold modules</x:v>
      </x:c>
      <x:c r="F14" s="28" t="str">
        <x:v>Concept only</x:v>
      </x:c>
      <x:c r="G14" s="28" t="str">
        <x:v>Yes</x:v>
      </x:c>
      <x:c r="H14" s="28" t="str">
        <x:v>Module geometry and BOM weights</x:v>
      </x:c>
      <x:c r="I14" s="28" t="str">
        <x:v>Drive / GGC DWGs</x:v>
      </x:c>
    </x:row>
    <x:row r="15">
      <x:c r="A15" s="28" t="str">
        <x:v>S11</x:v>
      </x:c>
      <x:c r="B15" s="28" t="str">
        <x:v>GGC lifting precedent</x:v>
      </x:c>
      <x:c r="C15" s="28" t="str">
        <x:v>4551 Methodology and Lift Plan Rev 1</x:v>
      </x:c>
      <x:c r="D15" s="28" t="str">
        <x:v>21 Mar 2026</x:v>
      </x:c>
      <x:c r="E15" s="28" t="str">
        <x:v>Multiple-hoist suspended module precedent</x:v>
      </x:c>
      <x:c r="F15" s="28" t="str">
        <x:v>Reference only</x:v>
      </x:c>
      <x:c r="G15" s="28" t="str">
        <x:v>Yes</x:v>
      </x:c>
      <x:c r="H15" s="28" t="str">
        <x:v>4 x 2 t hoists, 3.7 m/min, synchronized lift</x:v>
      </x:c>
      <x:c r="I15" s="28" t="str">
        <x:v>Drive / Floating Panel</x:v>
      </x:c>
    </x:row>
    <x:row r="16">
      <x:c r="A16" s="28" t="str">
        <x:v>S12</x:v>
      </x:c>
      <x:c r="B16" s="28" t="str">
        <x:v>GGC workboat report</x:v>
      </x:c>
      <x:c r="C16" s="28" t="str">
        <x:v>GGC NS Workboat 2026</x:v>
      </x:c>
      <x:c r="D16" s="28" t="str">
        <x:v>2026</x:v>
      </x:c>
      <x:c r="E16" s="28" t="str">
        <x:v>Workboat particulars</x:v>
      </x:c>
      <x:c r="F16" s="28" t="str">
        <x:v>Reference</x:v>
      </x:c>
      <x:c r="G16" s="28" t="str">
        <x:v>Yes</x:v>
      </x:c>
      <x:c r="H16" s="28" t="str">
        <x:v>5.76 m, 115 hp, persons/load limits</x:v>
      </x:c>
      <x:c r="I16" s="28" t="str">
        <x:v>Drive / Floating Panel</x:v>
      </x:c>
    </x:row>
    <x:row r="17">
      <x:c r="A17" s="28" t="str">
        <x:v>S13</x:v>
      </x:c>
      <x:c r="B17" s="28" t="str">
        <x:v>Aluminium access platform information</x:v>
      </x:c>
      <x:c r="C17" s="28" t="str">
        <x:v>Aluminium Dynamics Access Platform</x:v>
      </x:c>
      <x:c r="D17" s="28" t="str">
        <x:v>n/a</x:v>
      </x:c>
      <x:c r="E17" s="28" t="str">
        <x:v>Fabrication and access-panel reference</x:v>
      </x:c>
      <x:c r="F17" s="28" t="str">
        <x:v>Reference</x:v>
      </x:c>
      <x:c r="G17" s="28" t="str">
        <x:v>Yes</x:v>
      </x:c>
      <x:c r="H17" s="28" t="str">
        <x:v>Platform construction evidence; no monetary rate</x:v>
      </x:c>
      <x:c r="I17" s="28" t="str">
        <x:v>Drive / GGC DWGs</x:v>
      </x:c>
    </x:row>
    <x:row r="18">
      <x:c r="A18" s="28" t="str">
        <x:v>S14</x:v>
      </x:c>
      <x:c r="B18" s="28" t="str">
        <x:v>Marine access concept discussion</x:v>
      </x:c>
      <x:c r="C18" s="28" t="str">
        <x:v>Lucinda Marine Access Concept Discussion</x:v>
      </x:c>
      <x:c r="D18" s="28" t="str">
        <x:v>19 Aug 2026</x:v>
      </x:c>
      <x:c r="E18" s="28" t="str">
        <x:v>Working concept and Jed comments</x:v>
      </x:c>
      <x:c r="F18" s="28" t="str">
        <x:v>Working basis</x:v>
      </x:c>
      <x:c r="G18" s="28" t="str">
        <x:v>Yes</x:v>
      </x:c>
      <x:c r="H18" s="28" t="str">
        <x:v>Campaign direction, JUB reach assumptions, containment concept</x:v>
      </x:c>
      <x:c r="I18" s="28" t="str">
        <x:v>Uploaded PPTX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8" hidden="0" customWidth="1"/>
    <x:col min="4" max="4" width="22" hidden="0" customWidth="1"/>
    <x:col min="5" max="5" width="26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30" customHeight="1">
      <x:c r="A1" s="5" t="str">
        <x:v>Proposal Deliverable Compliance Matrix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Every Stage 1 obligation from ED-018-2026-01 is mapped to the report and model.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Ref</x:v>
      </x:c>
      <x:c r="B4" s="20" t="str">
        <x:v>Proposal obligation</x:v>
      </x:c>
      <x:c r="C4" s="20" t="str">
        <x:v>Required content</x:v>
      </x:c>
      <x:c r="D4" s="20" t="str">
        <x:v>Report section</x:v>
      </x:c>
      <x:c r="E4" s="20" t="str">
        <x:v>Workbook sheet</x:v>
      </x:c>
      <x:c r="F4" s="20" t="str">
        <x:v>Status</x:v>
      </x:c>
      <x:c r="G4" s="20" t="str">
        <x:v>Evidence gap</x:v>
      </x:c>
      <x:c r="H4" s="20" t="str">
        <x:v>Owner</x:v>
      </x:c>
    </x:row>
    <x:row r="5">
      <x:c r="A5" s="28" t="str">
        <x:v>1</x:v>
      </x:c>
      <x:c r="B5" s="28" t="str">
        <x:v>Review contract / methodology / programme and define constraint envelope</x:v>
      </x:c>
      <x:c r="C5" s="28" t="str">
        <x:v>Tide, bathymetry, weather, cyclone, shipping, containment, structural limits, roadway</x:v>
      </x:c>
      <x:c r="D5" s="28" t="str">
        <x:v>Sections 3-5</x:v>
      </x:c>
      <x:c r="E5" s="28" t="str">
        <x:v>03 Assumptions; 04 Scope &amp; Rates; 06 Programme</x:v>
      </x:c>
      <x:c r="F5" s="28" t="str">
        <x:v>Developed</x:v>
      </x:c>
      <x:c r="G5" s="28" t="str">
        <x:v>Bathymetry and current bent register</x:v>
      </x:c>
      <x:c r="H5" s="28" t="str">
        <x:v>STL</x:v>
      </x:c>
    </x:row>
    <x:row r="6">
      <x:c r="A6" s="28" t="str">
        <x:v>2</x:v>
      </x:c>
      <x:c r="B6" s="28" t="str">
        <x:v>Identify and screen candidate methodologies</x:v>
      </x:c>
      <x:c r="C6" s="28" t="str">
        <x:v>Longlist to shortlist</x:v>
      </x:c>
      <x:c r="D6" s="28" t="str">
        <x:v>Section 6</x:v>
      </x:c>
      <x:c r="E6" s="28" t="str">
        <x:v>08 Options MCA</x:v>
      </x:c>
      <x:c r="F6" s="28" t="str">
        <x:v>Developed</x:v>
      </x:c>
      <x:c r="G6" s="28" t="str">
        <x:v>Supplier feasibility for shortlisted options</x:v>
      </x:c>
      <x:c r="H6" s="28" t="str">
        <x:v>Endura</x:v>
      </x:c>
    </x:row>
    <x:row r="7">
      <x:c r="A7" s="28" t="str">
        <x:v>3</x:v>
      </x:c>
      <x:c r="B7" s="28" t="str">
        <x:v>Concept development for each shortlist</x:v>
      </x:c>
      <x:c r="C7" s="28" t="str">
        <x:v>Configuration, relocation, operability, containment, logistics, loading, cyclone and shipping</x:v>
      </x:c>
      <x:c r="D7" s="28" t="str">
        <x:v>Sections 7-10</x:v>
      </x:c>
      <x:c r="E7" s="28" t="str">
        <x:v>09 Preferred WBS; 12 Marine Logistics</x:v>
      </x:c>
      <x:c r="F7" s="28" t="str">
        <x:v>Developed for preferred hybrid; high-level for alternatives</x:v>
      </x:c>
      <x:c r="G7" s="28" t="str">
        <x:v>Supplier design and temporary works</x:v>
      </x:c>
      <x:c r="H7" s="28" t="str">
        <x:v>Suppliers / Endura</x:v>
      </x:c>
    </x:row>
    <x:row r="8">
      <x:c r="A8" s="28" t="str">
        <x:v>4</x:v>
      </x:c>
      <x:c r="B8" s="28" t="str">
        <x:v>Evaluate developed concepts</x:v>
      </x:c>
      <x:c r="C8" s="28" t="str">
        <x:v>MCA, programme, cost, weather/tide sensitivity</x:v>
      </x:c>
      <x:c r="D8" s="28" t="str">
        <x:v>Sections 6, 11-13</x:v>
      </x:c>
      <x:c r="E8" s="28" t="str">
        <x:v>08 Options MCA; 11 Fleet; 14 Cost; 15 Programme</x:v>
      </x:c>
      <x:c r="F8" s="28" t="str">
        <x:v>Developed as indicative model</x:v>
      </x:c>
      <x:c r="G8" s="28" t="str">
        <x:v>Written supplier rates and dated calendar</x:v>
      </x:c>
      <x:c r="H8" s="28" t="str">
        <x:v>Endura / STL</x:v>
      </x:c>
    </x:row>
    <x:row r="9">
      <x:c r="A9" s="28" t="str">
        <x:v>5</x:v>
      </x:c>
      <x:c r="B9" s="28" t="str">
        <x:v>Market soundings</x:v>
      </x:c>
      <x:c r="C9" s="28" t="str">
        <x:v>Practicality, availability and indicative pricing</x:v>
      </x:c>
      <x:c r="D9" s="28" t="str">
        <x:v>Section 14</x:v>
      </x:c>
      <x:c r="E9" s="28" t="str">
        <x:v>13 Rate Register</x:v>
      </x:c>
      <x:c r="F9" s="28" t="str">
        <x:v>Partly complete</x:v>
      </x:c>
      <x:c r="G9" s="28" t="str">
        <x:v>No written GGC monetary quote identified; JUB quote absent</x:v>
      </x:c>
      <x:c r="H9" s="28" t="str">
        <x:v>Endura</x:v>
      </x:c>
    </x:row>
    <x:row r="10">
      <x:c r="A10" s="28" t="str">
        <x:v>6</x:v>
      </x:c>
      <x:c r="B10" s="28" t="str">
        <x:v>Options workshop and final report</x:v>
      </x:c>
      <x:c r="C10" s="28" t="str">
        <x:v>Recommendation and implementation roadmap</x:v>
      </x:c>
      <x:c r="D10" s="28" t="str">
        <x:v>Sections 15-17</x:v>
      </x:c>
      <x:c r="E10" s="28" t="str">
        <x:v>02 Compliance; 17 Risks</x:v>
      </x:c>
      <x:c r="F10" s="28" t="str">
        <x:v>Drafted</x:v>
      </x:c>
      <x:c r="G10" s="28" t="str">
        <x:v>Workshop decisions and client confirmation</x:v>
      </x:c>
      <x:c r="H10" s="28" t="str">
        <x:v>STL / Endura</x:v>
      </x:c>
    </x:row>
    <x:row r="11">
      <x:c r="A11" s="28" t="str">
        <x:v>D1</x:v>
      </x:c>
      <x:c r="B11" s="28" t="str">
        <x:v>Options Assessment Report</x:v>
      </x:c>
      <x:c r="C11" s="28" t="str">
        <x:v>Constraint envelope, screened options, MCA, programme/cost, risk, recommendation, roadmap</x:v>
      </x:c>
      <x:c r="D11" s="28" t="str">
        <x:v>Whole report</x:v>
      </x:c>
      <x:c r="E11" s="28" t="str">
        <x:v>Whole workbook</x:v>
      </x:c>
      <x:c r="F11" s="28" t="str">
        <x:v>Draft complete</x:v>
      </x:c>
      <x:c r="G11" s="28" t="str">
        <x:v>Client decisions and final evidence gates</x:v>
      </x:c>
      <x:c r="H11" s="28" t="str">
        <x:v>Endura</x:v>
      </x:c>
    </x:row>
    <x:row r="12">
      <x:c r="A12" s="28" t="str">
        <x:v>D2</x:v>
      </x:c>
      <x:c r="B12" s="28" t="str">
        <x:v>Options workshop</x:v>
      </x:c>
      <x:c r="C12" s="28" t="str">
        <x:v>Working session</x:v>
      </x:c>
      <x:c r="D12" s="28" t="str">
        <x:v>Separate workshop</x:v>
      </x:c>
      <x:c r="E12" s="28" t="str">
        <x:v>n/a</x:v>
      </x:c>
      <x:c r="F12" s="28" t="str">
        <x:v>Pending</x:v>
      </x:c>
      <x:c r="G12" s="28" t="str">
        <x:v>Schedule with STL</x:v>
      </x:c>
      <x:c r="H12" s="28" t="str">
        <x:v>Endura</x:v>
      </x:c>
    </x:row>
    <x:row r="13">
      <x:c r="A13" s="28" t="str">
        <x:v>D3</x:v>
      </x:c>
      <x:c r="B13" s="28" t="str">
        <x:v>Site visit record if instructed</x:v>
      </x:c>
      <x:c r="C13" s="28" t="str">
        <x:v>Photo log and marine-side verification</x:v>
      </x:c>
      <x:c r="D13" s="28" t="str">
        <x:v>Appendix if instructed</x:v>
      </x:c>
      <x:c r="E13" s="28" t="str">
        <x:v>01 Sources</x:v>
      </x:c>
      <x:c r="F13" s="28" t="str">
        <x:v>Not instructed / not assessed</x:v>
      </x:c>
      <x:c r="G13" s="28" t="str">
        <x:v>Instruction and site visit</x:v>
      </x:c>
      <x:c r="H13" s="28" t="str">
        <x:v>STL</x:v>
      </x:c>
    </x:row>
    <x:row r="14">
      <x:c r="A14" s="28" t="str">
        <x:v>D4</x:v>
      </x:c>
      <x:c r="B14" s="28" t="str">
        <x:v>Stage 2 proposal if requested</x:v>
      </x:c>
      <x:c r="C14" s="28" t="str">
        <x:v>Contractor scan and procurement support</x:v>
      </x:c>
      <x:c r="D14" s="28" t="str">
        <x:v>Separate proposal</x:v>
      </x:c>
      <x:c r="E14" s="28" t="str">
        <x:v>n/a</x:v>
      </x:c>
      <x:c r="F14" s="28" t="str">
        <x:v>Not requested</x:v>
      </x:c>
      <x:c r="G14" s="28" t="str">
        <x:v>Client instruction</x:v>
      </x:c>
      <x:c r="H14" s="28" t="str">
        <x:v>STL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18" hidden="0" customWidth="1"/>
    <x:col min="5" max="5" width="22" hidden="0" customWidth="1"/>
    <x:col min="6" max="6" width="44" hidden="0" customWidth="1"/>
    <x:col min="7" max="7" width="22" hidden="0" customWidth="1"/>
    <x:col min="8" max="8" width="34" hidden="0" customWidth="1"/>
  </x:cols>
  <x:sheetData>
    <x:row r="1" ht="30" customHeight="1">
      <x:c r="A1" s="5" t="str">
        <x:v>Model Inputs and Controls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Yellow cells are editable. Do not overwrite source-based figures without recording a source and date.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ID</x:v>
      </x:c>
      <x:c r="B4" s="20" t="str">
        <x:v>Input</x:v>
      </x:c>
      <x:c r="C4" s="20" t="str">
        <x:v>Value</x:v>
      </x:c>
      <x:c r="D4" s="20" t="str">
        <x:v>Unit</x:v>
      </x:c>
      <x:c r="E4" s="20" t="str">
        <x:v>Basis class</x:v>
      </x:c>
      <x:c r="F4" s="20" t="str">
        <x:v>Source / rationale</x:v>
      </x:c>
      <x:c r="G4" s="20" t="str">
        <x:v>Verification status</x:v>
      </x:c>
      <x:c r="H4" s="20" t="str">
        <x:v>Consequence</x:v>
      </x:c>
    </x:row>
    <x:row r="5">
      <x:c r="A5" s="28" t="str">
        <x:v>A01</x:v>
      </x:c>
      <x:c r="B5" s="28" t="str">
        <x:v>Whole-scope stress-case bents</x:v>
      </x:c>
      <x:c r="C5" s="39" t="n">
        <x:v>227</x:v>
      </x:c>
      <x:c r="D5" s="28" t="str">
        <x:v>bents</x:v>
      </x:c>
      <x:c r="E5" s="28" t="str">
        <x:v>Engineering stress case</x:v>
      </x:c>
      <x:c r="F5" s="28" t="str">
        <x:v>Shaun project basis pending bent register</x:v>
      </x:c>
      <x:c r="G5" s="28" t="str">
        <x:v>Open</x:v>
      </x:c>
      <x:c r="H5" s="28" t="str">
        <x:v>Drives required rate</x:v>
      </x:c>
    </x:row>
    <x:row r="6">
      <x:c r="A6" s="28" t="str">
        <x:v>A02</x:v>
      </x:c>
      <x:c r="B6" s="28" t="str">
        <x:v>Priority bents</x:v>
      </x:c>
      <x:c r="C6" s="39"/>
      <x:c r="D6" s="28" t="str">
        <x:v>bents</x:v>
      </x:c>
      <x:c r="E6" s="28" t="str">
        <x:v>Open</x:v>
      </x:c>
      <x:c r="F6" s="28" t="str">
        <x:v>Current STL bent register required</x:v>
      </x:c>
      <x:c r="G6" s="28" t="str">
        <x:v>TBC</x:v>
      </x:c>
      <x:c r="H6" s="28" t="str">
        <x:v>Determines actual board deadline scope</x:v>
      </x:c>
    </x:row>
    <x:row r="7">
      <x:c r="A7" s="28" t="str">
        <x:v>A03</x:v>
      </x:c>
      <x:c r="B7" s="28" t="str">
        <x:v>Production seasons</x:v>
      </x:c>
      <x:c r="C7" s="39" t="n">
        <x:v>2</x:v>
      </x:c>
      <x:c r="D7" s="28" t="str">
        <x:v>seasons</x:v>
      </x:c>
      <x:c r="E7" s="28" t="str">
        <x:v>Planning basis</x:v>
      </x:c>
      <x:c r="F7" s="28" t="str">
        <x:v>2027 and 2028 dry seasons</x:v>
      </x:c>
      <x:c r="G7" s="28" t="str">
        <x:v>Assumption</x:v>
      </x:c>
      <x:c r="H7" s="28" t="str">
        <x:v>Programme target</x:v>
      </x:c>
    </x:row>
    <x:row r="8">
      <x:c r="A8" s="28" t="str">
        <x:v>A04</x:v>
      </x:c>
      <x:c r="B8" s="28" t="str">
        <x:v>Nominal production weeks per season</x:v>
      </x:c>
      <x:c r="C8" s="39" t="n">
        <x:v>30</x:v>
      </x:c>
      <x:c r="D8" s="28" t="str">
        <x:v>weeks</x:v>
      </x:c>
      <x:c r="E8" s="28" t="str">
        <x:v>Planning basis</x:v>
      </x:c>
      <x:c r="F8" s="28" t="str">
        <x:v>Full demobilisation Dec-Mar</x:v>
      </x:c>
      <x:c r="G8" s="28" t="str">
        <x:v>Assumption</x:v>
      </x:c>
      <x:c r="H8" s="28" t="str">
        <x:v>Programme target</x:v>
      </x:c>
    </x:row>
    <x:row r="9">
      <x:c r="A9" s="28" t="str">
        <x:v>A05</x:v>
      </x:c>
      <x:c r="B9" s="28" t="str">
        <x:v>Working days per week</x:v>
      </x:c>
      <x:c r="C9" s="39" t="n">
        <x:v>6</x:v>
      </x:c>
      <x:c r="D9" s="28" t="str">
        <x:v>days/week</x:v>
      </x:c>
      <x:c r="E9" s="28" t="str">
        <x:v>Programme assumption</x:v>
      </x:c>
      <x:c r="F9" s="28" t="str">
        <x:v>Current schedule includes weekends and Sundays separately</x:v>
      </x:c>
      <x:c r="G9" s="28" t="str">
        <x:v>Assumption</x:v>
      </x:c>
      <x:c r="H9" s="28" t="str">
        <x:v>Rate conversion</x:v>
      </x:c>
    </x:row>
    <x:row r="10">
      <x:c r="A10" s="28" t="str">
        <x:v>A06</x:v>
      </x:c>
      <x:c r="B10" s="28" t="str">
        <x:v>Shift length</x:v>
      </x:c>
      <x:c r="C10" s="39" t="n">
        <x:v>10</x:v>
      </x:c>
      <x:c r="D10" s="28" t="str">
        <x:v>hours</x:v>
      </x:c>
      <x:c r="E10" s="28" t="str">
        <x:v>Planning basis</x:v>
      </x:c>
      <x:c r="F10" s="28" t="str">
        <x:v>Within contract working-period limits; night production excluded</x:v>
      </x:c>
      <x:c r="G10" s="28" t="str">
        <x:v>Assumption</x:v>
      </x:c>
      <x:c r="H10" s="28" t="str">
        <x:v>Duration conversion</x:v>
      </x:c>
    </x:row>
    <x:row r="11">
      <x:c r="A11" s="28" t="str">
        <x:v>A07</x:v>
      </x:c>
      <x:c r="B11" s="28" t="str">
        <x:v>Residual stochastic availability</x:v>
      </x:c>
      <x:c r="C11" s="42" t="n">
        <x:v>0.85</x:v>
      </x:c>
      <x:c r="D11" s="28" t="str">
        <x:v>fraction</x:v>
      </x:c>
      <x:c r="E11" s="28" t="str">
        <x:v>Engineering assumption</x:v>
      </x:c>
      <x:c r="F11" s="28" t="str">
        <x:v>Weather and breakdown only; known calendar losses explicit</x:v>
      </x:c>
      <x:c r="G11" s="28" t="str">
        <x:v>Open</x:v>
      </x:c>
      <x:c r="H11" s="28" t="str">
        <x:v>Fleet size</x:v>
      </x:c>
    </x:row>
    <x:row r="12">
      <x:c r="A12" s="28" t="str">
        <x:v>A08</x:v>
      </x:c>
      <x:c r="B12" s="28" t="str">
        <x:v>Approval hold</x:v>
      </x:c>
      <x:c r="C12" s="39" t="n">
        <x:v>3</x:v>
      </x:c>
      <x:c r="D12" s="28" t="str">
        <x:v>days</x:v>
      </x:c>
      <x:c r="E12" s="28" t="str">
        <x:v>Project programme</x:v>
      </x:c>
      <x:c r="F12" s="28" t="str">
        <x:v>Contract programme</x:v>
      </x:c>
      <x:c r="G12" s="28" t="str">
        <x:v>Verified planned allowance</x:v>
      </x:c>
      <x:c r="H12" s="28" t="str">
        <x:v>Set occupancy</x:v>
      </x:c>
    </x:row>
    <x:row r="13">
      <x:c r="A13" s="28" t="str">
        <x:v>A09</x:v>
      </x:c>
      <x:c r="B13" s="28" t="str">
        <x:v>Weld intensity proxy</x:v>
      </x:c>
      <x:c r="C13" s="39" t="n">
        <x:v>52.56</x:v>
      </x:c>
      <x:c r="D13" s="28" t="str">
        <x:v>lm/bent equivalent</x:v>
      </x:c>
      <x:c r="E13" s="28" t="str">
        <x:v>Client-provided claim proxy</x:v>
      </x:c>
      <x:c r="F13" s="28" t="str">
        <x:v>473.025 lm / 9.0 inspection equivalents</x:v>
      </x:c>
      <x:c r="G13" s="28" t="str">
        <x:v>Proxy only</x:v>
      </x:c>
      <x:c r="H13" s="28" t="str">
        <x:v>Weld capacity</x:v>
      </x:c>
    </x:row>
    <x:row r="14">
      <x:c r="A14" s="28" t="str">
        <x:v>A10</x:v>
      </x:c>
      <x:c r="B14" s="28" t="str">
        <x:v>Base weld crews per set</x:v>
      </x:c>
      <x:c r="C14" s="39" t="n">
        <x:v>2</x:v>
      </x:c>
      <x:c r="D14" s="28" t="str">
        <x:v>crews</x:v>
      </x:c>
      <x:c r="E14" s="28" t="str">
        <x:v>Engineering assumption</x:v>
      </x:c>
      <x:c r="F14" s="28" t="str">
        <x:v>Two simultaneous zones pending trial</x:v>
      </x:c>
      <x:c r="G14" s="28" t="str">
        <x:v>Open</x:v>
      </x:c>
      <x:c r="H14" s="28" t="str">
        <x:v>Cycle duration</x:v>
      </x:c>
    </x:row>
    <x:row r="15">
      <x:c r="A15" s="28" t="str">
        <x:v>A11</x:v>
      </x:c>
      <x:c r="B15" s="28" t="str">
        <x:v>Accepted weld output per crew-shift</x:v>
      </x:c>
      <x:c r="C15" s="39" t="n">
        <x:v>6</x:v>
      </x:c>
      <x:c r="D15" s="28" t="str">
        <x:v>lm/crew-shift</x:v>
      </x:c>
      <x:c r="E15" s="28" t="str">
        <x:v>Engineering assumption</x:v>
      </x:c>
      <x:c r="F15" s="28" t="str">
        <x:v>No accepted site production record supplied</x:v>
      </x:c>
      <x:c r="G15" s="28" t="str">
        <x:v>Open</x:v>
      </x:c>
      <x:c r="H15" s="28" t="str">
        <x:v>Cycle duration</x:v>
      </x:c>
    </x:row>
    <x:row r="16">
      <x:c r="A16" s="28" t="str">
        <x:v>A12</x:v>
      </x:c>
      <x:c r="B16" s="28" t="str">
        <x:v>Pre-approved repair library routine hold</x:v>
      </x:c>
      <x:c r="C16" s="39" t="n">
        <x:v>0</x:v>
      </x:c>
      <x:c r="D16" s="28" t="str">
        <x:v>days</x:v>
      </x:c>
      <x:c r="E16" s="28" t="str">
        <x:v>Improvement assumption</x:v>
      </x:c>
      <x:c r="F16" s="28" t="str">
        <x:v>Requires reviewing engineer agreement</x:v>
      </x:c>
      <x:c r="G16" s="28" t="str">
        <x:v>Open</x:v>
      </x:c>
      <x:c r="H16" s="28" t="str">
        <x:v>Cycle duration</x:v>
      </x:c>
    </x:row>
    <x:row r="17">
      <x:c r="A17" s="28" t="str">
        <x:v>A13</x:v>
      </x:c>
      <x:c r="B17" s="28" t="str">
        <x:v>Selected complete access sets</x:v>
      </x:c>
      <x:c r="C17" s="39" t="n">
        <x:v>11</x:v>
      </x:c>
      <x:c r="D17" s="28" t="str">
        <x:v>sets</x:v>
      </x:c>
      <x:c r="E17" s="28" t="str">
        <x:v>Scenario input</x:v>
      </x:c>
      <x:c r="F17" s="28" t="str">
        <x:v>Central conditional case</x:v>
      </x:c>
      <x:c r="G17" s="28" t="str">
        <x:v>Open</x:v>
      </x:c>
      <x:c r="H17" s="28" t="str">
        <x:v>Cost and output</x:v>
      </x:c>
    </x:row>
    <x:row r="18">
      <x:c r="A18" s="28" t="str">
        <x:v>A14</x:v>
      </x:c>
      <x:c r="B18" s="28" t="str">
        <x:v>Sets supported per marine service cell</x:v>
      </x:c>
      <x:c r="C18" s="39" t="n">
        <x:v>5</x:v>
      </x:c>
      <x:c r="D18" s="28" t="str">
        <x:v>sets/JUB</x:v>
      </x:c>
      <x:c r="E18" s="28" t="str">
        <x:v>Engineering assumption</x:v>
      </x:c>
      <x:c r="F18" s="28" t="str">
        <x:v>50 m class reach / distributed staging concept</x:v>
      </x:c>
      <x:c r="G18" s="28" t="str">
        <x:v>Open</x:v>
      </x:c>
      <x:c r="H18" s="28" t="str">
        <x:v>JUB quantity</x:v>
      </x:c>
    </x:row>
    <x:row r="19">
      <x:c r="A19" s="28" t="str">
        <x:v>A15</x:v>
      </x:c>
      <x:c r="B19" s="28" t="str">
        <x:v>Bent spacing</x:v>
      </x:c>
      <x:c r="C19" s="39" t="n">
        <x:v>18</x:v>
      </x:c>
      <x:c r="D19" s="28" t="str">
        <x:v>m</x:v>
      </x:c>
      <x:c r="E19" s="28" t="str">
        <x:v>Concept assumption</x:v>
      </x:c>
      <x:c r="F19" s="28" t="str">
        <x:v>To be confirmed from GA</x:v>
      </x:c>
      <x:c r="G19" s="28" t="str">
        <x:v>Open</x:v>
      </x:c>
      <x:c r="H19" s="28" t="str">
        <x:v>JUB stand count</x:v>
      </x:c>
    </x:row>
    <x:row r="20">
      <x:c r="A20" s="28" t="str">
        <x:v>A16</x:v>
      </x:c>
      <x:c r="B20" s="28" t="str">
        <x:v>Required rate</x:v>
      </x:c>
      <x:c r="C20" s="44" t="n">
        <x:f>C5/(C7*C8)</x:f>
        <x:v>3.783333333333333</x:v>
      </x:c>
      <x:c r="D20" s="28" t="str">
        <x:v>bents/week</x:v>
      </x:c>
      <x:c r="E20" s="28" t="str">
        <x:v>Formula</x:v>
      </x:c>
      <x:c r="F20" s="28" t="str">
        <x:v>Stress case / production weeks</x:v>
      </x:c>
      <x:c r="G20" s="28" t="str">
        <x:v>Formula</x:v>
      </x:c>
      <x:c r="H20" s="28" t="str">
        <x:v>Fleet target</x:v>
      </x:c>
    </x:row>
    <x:row r="21">
      <x:c r="A21" s="28" t="str">
        <x:v>A17</x:v>
      </x:c>
      <x:c r="B21" s="28" t="str">
        <x:v>Current claimed safe-access rate</x:v>
      </x:c>
      <x:c r="C21" s="28" t="n">
        <x:v>0.36</x:v>
      </x:c>
      <x:c r="D21" s="28" t="str">
        <x:v>stage eq/week</x:v>
      </x:c>
      <x:c r="E21" s="28" t="str">
        <x:v>Client-provided calculation</x:v>
      </x:c>
      <x:c r="F21" s="28" t="str">
        <x:v>7.9 / 21.9 calendar weeks</x:v>
      </x:c>
      <x:c r="G21" s="28" t="str">
        <x:v>Verified calculation</x:v>
      </x:c>
      <x:c r="H21" s="28" t="str">
        <x:v>Actual baseline only</x:v>
      </x:c>
    </x:row>
    <x:row r="22">
      <x:c r="A22" s="28" t="str">
        <x:v>A18</x:v>
      </x:c>
      <x:c r="B22" s="28" t="str">
        <x:v>Current planned typical cycle</x:v>
      </x:c>
      <x:c r="C22" s="28" t="n">
        <x:v>15</x:v>
      </x:c>
      <x:c r="D22" s="28" t="str">
        <x:v>calendar days</x:v>
      </x:c>
      <x:c r="E22" s="28" t="str">
        <x:v>Programme range</x:v>
      </x:c>
      <x:c r="F22" s="28" t="str">
        <x:v>Typical rows predominantly 14-15 days</x:v>
      </x:c>
      <x:c r="G22" s="28" t="str">
        <x:v>Visible schedule basis</x:v>
      </x:c>
      <x:c r="H22" s="28" t="str">
        <x:v>Current comparison</x:v>
      </x:c>
    </x:row>
    <x:row r="23">
      <x:c r="A23" s="28" t="str">
        <x:v>A19</x:v>
      </x:c>
      <x:c r="B23" s="28" t="str">
        <x:v>Current planned completion rate</x:v>
      </x:c>
      <x:c r="C23" s="28" t="n">
        <x:v>2.45</x:v>
      </x:c>
      <x:c r="D23" s="28" t="str">
        <x:v>bents/week</x:v>
      </x:c>
      <x:c r="E23" s="28" t="str">
        <x:v>Programme summary</x:v>
      </x:c>
      <x:c r="F23" s="28" t="str">
        <x:v>SP3-SP7 visible production windows</x:v>
      </x:c>
      <x:c r="G23" s="28" t="str">
        <x:v>Approximate</x:v>
      </x:c>
      <x:c r="H23" s="28" t="str">
        <x:v>Current plan comparator</x:v>
      </x:c>
    </x:row>
    <x:row r="24">
      <x:c r="A24" s="28" t="str">
        <x:v>A20</x:v>
      </x:c>
      <x:c r="B24" s="28" t="str">
        <x:v>Current firm bents</x:v>
      </x:c>
      <x:c r="C24" s="28" t="n">
        <x:v>237</x:v>
      </x:c>
      <x:c r="D24" s="28" t="str">
        <x:v>bents</x:v>
      </x:c>
      <x:c r="E24" s="28" t="str">
        <x:v>Contract fact</x:v>
      </x:c>
      <x:c r="F24" s="28" t="str">
        <x:v>Appendix D</x:v>
      </x:c>
      <x:c r="G24" s="28" t="str">
        <x:v>Verified</x:v>
      </x:c>
      <x:c r="H24" s="28" t="str">
        <x:v>Unit cost basis</x:v>
      </x:c>
    </x:row>
    <x:row r="25">
      <x:c r="A25" s="28" t="str">
        <x:v>A21</x:v>
      </x:c>
      <x:c r="B25" s="28" t="str">
        <x:v>Firm access + bespoke tooling basis</x:v>
      </x:c>
      <x:c r="C25" s="46" t="n">
        <x:v>9275472.36</x:v>
      </x:c>
      <x:c r="D25" s="28" t="str">
        <x:v>AUD</x:v>
      </x:c>
      <x:c r="E25" s="28" t="str">
        <x:v>Contract calculation</x:v>
      </x:c>
      <x:c r="F25" s="28" t="str">
        <x:v>Access items excluding optional EJ + item 1.1.5</x:v>
      </x:c>
      <x:c r="G25" s="28" t="str">
        <x:v>Verified calculation</x:v>
      </x:c>
      <x:c r="H25" s="28" t="str">
        <x:v>Historic baseline, not cost to complete</x:v>
      </x:c>
    </x:row>
    <x:row r="26">
      <x:c r="A26" s="28" t="str">
        <x:v>A22</x:v>
      </x:c>
      <x:c r="B26" s="28" t="str">
        <x:v>Optional EJ access basis</x:v>
      </x:c>
      <x:c r="C26" s="46" t="n">
        <x:v>1131509.26</x:v>
      </x:c>
      <x:c r="D26" s="28" t="str">
        <x:v>AUD</x:v>
      </x:c>
      <x:c r="E26" s="28" t="str">
        <x:v>Contract fact</x:v>
      </x:c>
      <x:c r="F26" s="28" t="str">
        <x:v>Price Schedule item 2.9.1</x:v>
      </x:c>
      <x:c r="G26" s="28" t="str">
        <x:v>Verified</x:v>
      </x:c>
      <x:c r="H26" s="28" t="str">
        <x:v>Optional scope</x:v>
      </x:c>
    </x:row>
    <x:row r="27">
      <x:c r="A27" s="28" t="str">
        <x:v>A23</x:v>
      </x:c>
      <x:c r="B27" s="28" t="str">
        <x:v>Total contract value ex GST</x:v>
      </x:c>
      <x:c r="C27" s="46" t="n">
        <x:v>24839000.77</x:v>
      </x:c>
      <x:c r="D27" s="28" t="str">
        <x:v>AUD</x:v>
      </x:c>
      <x:c r="E27" s="28" t="str">
        <x:v>Contract fact</x:v>
      </x:c>
      <x:c r="F27" s="28" t="str">
        <x:v>Price Schedule total</x:v>
      </x:c>
      <x:c r="G27" s="28" t="str">
        <x:v>Verified</x:v>
      </x:c>
      <x:c r="H27" s="28" t="str">
        <x:v>Context only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  <x:col min="9" max="9" width="12" hidden="0" customWidth="1"/>
    <x:col min="10" max="10" width="30" hidden="0" customWidth="1"/>
    <x:col min="11" max="11" width="18" hidden="0" customWidth="1"/>
  </x:cols>
  <x:sheetData>
    <x:row r="1" ht="30" customHeight="1">
      <x:c r="A1" s="5" t="str">
        <x:v>Contract Scope and Current Commercial Baseline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Source-based quantities and rates from Annexure Part F. Historic contract basis, not a remaining cost-to-complete.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Family</x:v>
      </x:c>
      <x:c r="B4" s="20" t="str">
        <x:v>Firm qty</x:v>
      </x:c>
      <x:c r="C4" s="20" t="str">
        <x:v>Optional qty</x:v>
      </x:c>
      <x:c r="D4" s="20" t="str">
        <x:v>Access total AUD</x:v>
      </x:c>
      <x:c r="E4" s="20" t="str">
        <x:v>Avg access / firm bent</x:v>
      </x:c>
      <x:c r="F4" s="20" t="str">
        <x:v>Inspection total</x:v>
      </x:c>
      <x:c r="G4" s="20" t="str">
        <x:v>Blast/coat total</x:v>
      </x:c>
      <x:c r="H4" s="20" t="str">
        <x:v>Preferred candidate access</x:v>
      </x:c>
      <x:c r="I4" s="20" t="str">
        <x:v>Confidence</x:v>
      </x:c>
      <x:c r="J4" s="20" t="str">
        <x:v>Source note</x:v>
      </x:c>
      <x:c r="K4" s="20" t="str">
        <x:v>Status</x:v>
      </x:c>
    </x:row>
    <x:row r="5">
      <x:c r="A5" s="28" t="str">
        <x:v>Typical</x:v>
      </x:c>
      <x:c r="B5" s="28" t="n">
        <x:v>212</x:v>
      </x:c>
      <x:c r="C5" s="28" t="n">
        <x:v>0</x:v>
      </x:c>
      <x:c r="D5" s="46" t="n">
        <x:v>6344314.51</x:v>
      </x:c>
      <x:c r="E5" s="46" t="n">
        <x:f>D5/B5</x:f>
        <x:v>29926.01183962264</x:v>
      </x:c>
      <x:c r="F5" s="46" t="n">
        <x:v>651293.33</x:v>
      </x:c>
      <x:c r="G5" s="46" t="n">
        <x:v>5958166.14</x:v>
      </x:c>
      <x:c r="H5" s="28" t="str">
        <x:v>Floating suspended platform</x:v>
      </x:c>
      <x:c r="I5" s="28" t="str">
        <x:v>High</x:v>
      </x:c>
      <x:c r="J5" s="28" t="str">
        <x:v>Items 2.1.1-2.1.3</x:v>
      </x:c>
      <x:c r="K5" s="28" t="str">
        <x:v>Verified</x:v>
      </x:c>
    </x:row>
    <x:row r="6">
      <x:c r="A6" s="28" t="str">
        <x:v>Anchor A</x:v>
      </x:c>
      <x:c r="B6" s="28" t="n">
        <x:v>7</x:v>
      </x:c>
      <x:c r="C6" s="28" t="n">
        <x:v>0</x:v>
      </x:c>
      <x:c r="D6" s="46" t="n">
        <x:v>241542.45</x:v>
      </x:c>
      <x:c r="E6" s="46" t="n">
        <x:f>D6/B6</x:f>
        <x:v>34506.06428571429</x:v>
      </x:c>
      <x:c r="F6" s="46" t="n">
        <x:v>23306.12</x:v>
      </x:c>
      <x:c r="G6" s="46" t="n">
        <x:v>212896.42</x:v>
      </x:c>
      <x:c r="H6" s="28" t="str">
        <x:v>Scaffold or adapted hybrid</x:v>
      </x:c>
      <x:c r="I6" s="28" t="str">
        <x:v>High</x:v>
      </x:c>
      <x:c r="J6" s="28" t="str">
        <x:v>Items 2.2.1-2.2.3</x:v>
      </x:c>
      <x:c r="K6" s="28" t="str">
        <x:v>Verified</x:v>
      </x:c>
    </x:row>
    <x:row r="7">
      <x:c r="A7" s="28" t="str">
        <x:v>Anchor B</x:v>
      </x:c>
      <x:c r="B7" s="28" t="n">
        <x:v>6</x:v>
      </x:c>
      <x:c r="C7" s="28" t="n">
        <x:v>0</x:v>
      </x:c>
      <x:c r="D7" s="46" t="n">
        <x:v>192857.5</x:v>
      </x:c>
      <x:c r="E7" s="46" t="n">
        <x:f>D7/B7</x:f>
        <x:v>32142.916666666668</x:v>
      </x:c>
      <x:c r="F7" s="46" t="n">
        <x:v>19792.5</x:v>
      </x:c>
      <x:c r="G7" s="46" t="n">
        <x:v>180845</x:v>
      </x:c>
      <x:c r="H7" s="28" t="str">
        <x:v>Scaffold or adapted hybrid</x:v>
      </x:c>
      <x:c r="I7" s="28" t="str">
        <x:v>High</x:v>
      </x:c>
      <x:c r="J7" s="28" t="str">
        <x:v>Items 2.3.1-2.3.3</x:v>
      </x:c>
      <x:c r="K7" s="28" t="str">
        <x:v>Verified</x:v>
      </x:c>
    </x:row>
    <x:row r="8">
      <x:c r="A8" s="28" t="str">
        <x:v>Passing bay</x:v>
      </x:c>
      <x:c r="B8" s="28" t="n">
        <x:v>5</x:v>
      </x:c>
      <x:c r="C8" s="28" t="n">
        <x:v>0</x:v>
      </x:c>
      <x:c r="D8" s="46" t="n">
        <x:v>270536.95</x:v>
      </x:c>
      <x:c r="E8" s="46" t="n">
        <x:f>D8/B8</x:f>
        <x:v>54107.39</x:v>
      </x:c>
      <x:c r="F8" s="46" t="n">
        <x:v>19739.83</x:v>
      </x:c>
      <x:c r="G8" s="46" t="n">
        <x:v>179921.23</x:v>
      </x:c>
      <x:c r="H8" s="28" t="str">
        <x:v>Hybrid / bent-specific</x:v>
      </x:c>
      <x:c r="I8" s="28" t="str">
        <x:v>High</x:v>
      </x:c>
      <x:c r="J8" s="28" t="str">
        <x:v>Items 2.4.1-2.4.3</x:v>
      </x:c>
      <x:c r="K8" s="28" t="str">
        <x:v>Verified</x:v>
      </x:c>
    </x:row>
    <x:row r="9">
      <x:c r="A9" s="28" t="str">
        <x:v>Passing bay anchor A</x:v>
      </x:c>
      <x:c r="B9" s="28" t="n">
        <x:v>3</x:v>
      </x:c>
      <x:c r="C9" s="28" t="n">
        <x:v>0</x:v>
      </x:c>
      <x:c r="D9" s="46" t="n">
        <x:v>182613.13</x:v>
      </x:c>
      <x:c r="E9" s="46" t="n">
        <x:f>D9/B9</x:f>
        <x:v>60871.043333333335</x:v>
      </x:c>
      <x:c r="F9" s="46"/>
      <x:c r="G9" s="46"/>
      <x:c r="H9" s="28" t="str">
        <x:v>Hybrid / bent-specific</x:v>
      </x:c>
      <x:c r="I9" s="28" t="str">
        <x:v>Medium</x:v>
      </x:c>
      <x:c r="J9" s="28" t="str">
        <x:v>Price schedule page 2</x:v>
      </x:c>
      <x:c r="K9" s="28" t="str">
        <x:v>Partial extraction</x:v>
      </x:c>
    </x:row>
    <x:row r="10">
      <x:c r="A10" s="28" t="str">
        <x:v>Passing bay anchor B</x:v>
      </x:c>
      <x:c r="B10" s="28" t="n">
        <x:v>2</x:v>
      </x:c>
      <x:c r="C10" s="28" t="n">
        <x:v>0</x:v>
      </x:c>
      <x:c r="D10" s="46" t="n">
        <x:v>113094.5</x:v>
      </x:c>
      <x:c r="E10" s="46" t="n">
        <x:f>D10/B10</x:f>
        <x:v>56547.25</x:v>
      </x:c>
      <x:c r="F10" s="46"/>
      <x:c r="G10" s="46"/>
      <x:c r="H10" s="28" t="str">
        <x:v>Hybrid / bent-specific</x:v>
      </x:c>
      <x:c r="I10" s="28" t="str">
        <x:v>Medium</x:v>
      </x:c>
      <x:c r="J10" s="28" t="str">
        <x:v>Price schedule page 2</x:v>
      </x:c>
      <x:c r="K10" s="28" t="str">
        <x:v>Partial extraction</x:v>
      </x:c>
    </x:row>
    <x:row r="11">
      <x:c r="A11" s="28" t="str">
        <x:v>Special PB275</x:v>
      </x:c>
      <x:c r="B11" s="28" t="n">
        <x:v>1</x:v>
      </x:c>
      <x:c r="C11" s="28" t="n">
        <x:v>0</x:v>
      </x:c>
      <x:c r="D11" s="46" t="n">
        <x:v>50601.44</x:v>
      </x:c>
      <x:c r="E11" s="46" t="n">
        <x:f>D11/B11</x:f>
        <x:v>50601.44</x:v>
      </x:c>
      <x:c r="F11" s="46"/>
      <x:c r="G11" s="46"/>
      <x:c r="H11" s="28" t="str">
        <x:v>Individual engineered access</x:v>
      </x:c>
      <x:c r="I11" s="28" t="str">
        <x:v>High</x:v>
      </x:c>
      <x:c r="J11" s="28" t="str">
        <x:v>Price schedule item 2.7</x:v>
      </x:c>
      <x:c r="K11" s="28" t="str">
        <x:v>Verified</x:v>
      </x:c>
    </x:row>
    <x:row r="12">
      <x:c r="A12" s="28" t="str">
        <x:v>Special PB281</x:v>
      </x:c>
      <x:c r="B12" s="28" t="n">
        <x:v>1</x:v>
      </x:c>
      <x:c r="C12" s="28" t="n">
        <x:v>0</x:v>
      </x:c>
      <x:c r="D12" s="46" t="n">
        <x:v>68131.29</x:v>
      </x:c>
      <x:c r="E12" s="46" t="n">
        <x:f>D12/B12</x:f>
        <x:v>68131.29</x:v>
      </x:c>
      <x:c r="F12" s="46"/>
      <x:c r="G12" s="46"/>
      <x:c r="H12" s="28" t="str">
        <x:v>Individual engineered access</x:v>
      </x:c>
      <x:c r="I12" s="28" t="str">
        <x:v>High</x:v>
      </x:c>
      <x:c r="J12" s="28" t="str">
        <x:v>Price schedule item 2.8</x:v>
      </x:c>
      <x:c r="K12" s="28" t="str">
        <x:v>Verified</x:v>
      </x:c>
    </x:row>
    <x:row r="13">
      <x:c r="A13" s="28" t="str">
        <x:v>Expansion joint</x:v>
      </x:c>
      <x:c r="B13" s="28" t="n">
        <x:v>0</x:v>
      </x:c>
      <x:c r="C13" s="28" t="n">
        <x:v>20</x:v>
      </x:c>
      <x:c r="D13" s="46" t="n">
        <x:v>1131509.26</x:v>
      </x:c>
      <x:c r="E13" s="46"/>
      <x:c r="F13" s="46"/>
      <x:c r="G13" s="46"/>
      <x:c r="H13" s="28" t="str">
        <x:v>Dedicated scaffold / jacked deck / adapted platform</x:v>
      </x:c>
      <x:c r="I13" s="28" t="str">
        <x:v>High</x:v>
      </x:c>
      <x:c r="J13" s="28" t="str">
        <x:v>Price schedule item 2.9.1</x:v>
      </x:c>
      <x:c r="K13" s="28" t="str">
        <x:v>Optional</x:v>
      </x:c>
    </x:row>
    <x:row r="14">
      <x:c r="A14" s="50" t="str">
        <x:v>TOTAL</x:v>
      </x:c>
      <x:c r="B14" s="50" t="n">
        <x:v>237</x:v>
      </x:c>
      <x:c r="C14" s="50" t="n">
        <x:v>20</x:v>
      </x:c>
      <x:c r="D14" s="51" t="n">
        <x:f>SUM(D5:D13)</x:f>
        <x:v>8595201.030000001</x:v>
      </x:c>
      <x:c r="E14" s="51" t="n">
        <x:f>SUM(D5:D12)/SUM(B5:B12)</x:f>
        <x:v>31492.370337552744</x:v>
      </x:c>
      <x:c r="F14" s="51" t="n">
        <x:f>SUM(F5:F12)</x:f>
        <x:v>714131.7799999999</x:v>
      </x:c>
      <x:c r="G14" s="51" t="n">
        <x:f>SUM(G5:G12)</x:f>
        <x:v>6531828.79</x:v>
      </x:c>
      <x:c r="H14" s="50" t="str"/>
      <x:c r="I14" s="50" t="str"/>
      <x:c r="J14" s="50" t="str"/>
      <x:c r="K14" s="50" t="str"/>
    </x:row>
    <x:row r="17">
      <x:c r="A17" s="20" t="str">
        <x:v>Current contract rate item</x:v>
      </x:c>
      <x:c r="B17" s="20" t="str">
        <x:v>Unit</x:v>
      </x:c>
      <x:c r="C17" s="20" t="str">
        <x:v>2025/26</x:v>
      </x:c>
      <x:c r="D17" s="20" t="str">
        <x:v>2026/27</x:v>
      </x:c>
      <x:c r="E17" s="20" t="str">
        <x:v>2027/28</x:v>
      </x:c>
      <x:c r="F17" s="20" t="str">
        <x:v>2028+</x:v>
      </x:c>
      <x:c r="G17" s="20" t="str">
        <x:v>Use / limitation</x:v>
      </x:c>
      <x:c r="I17" s="20" t="str">
        <x:v>Commercial control</x:v>
      </x:c>
      <x:c r="J17" s="20" t="str">
        <x:v>Value</x:v>
      </x:c>
      <x:c r="K17" s="20" t="str">
        <x:v>Comment</x:v>
      </x:c>
    </x:row>
    <x:row r="18">
      <x:c r="A18" s="28" t="str">
        <x:v>Typical safe access</x:v>
      </x:c>
      <x:c r="B18" s="28" t="str">
        <x:v>ea</x:v>
      </x:c>
      <x:c r="C18" s="46" t="n">
        <x:v>27586.27</x:v>
      </x:c>
      <x:c r="D18" s="46" t="n">
        <x:v>28965.58</x:v>
      </x:c>
      <x:c r="E18" s="46" t="n">
        <x:v>30413.86</x:v>
      </x:c>
      <x:c r="F18" s="46" t="n">
        <x:v>31934.56</x:v>
      </x:c>
      <x:c r="G18" s="28" t="str">
        <x:v>Current scaffold baseline</x:v>
      </x:c>
      <x:c r="I18" s="28" t="str">
        <x:v>Total contract value ex GST</x:v>
      </x:c>
      <x:c r="J18" s="46" t="n">
        <x:v>24839000.77</x:v>
      </x:c>
      <x:c r="K18" s="28" t="str">
        <x:v>Includes optional/provisional</x:v>
      </x:c>
    </x:row>
    <x:row r="19">
      <x:c r="A19" s="28" t="str">
        <x:v>Typical inspect / UT / weld determination</x:v>
      </x:c>
      <x:c r="B19" s="28" t="str">
        <x:v>ea</x:v>
      </x:c>
      <x:c r="C19" s="46" t="n">
        <x:v>2925</x:v>
      </x:c>
      <x:c r="D19" s="46" t="n">
        <x:v>3012.75</x:v>
      </x:c>
      <x:c r="E19" s="46" t="n">
        <x:v>3103.4</x:v>
      </x:c>
      <x:c r="F19" s="46" t="n">
        <x:v>3196.09</x:v>
      </x:c>
      <x:c r="G19" s="28" t="str">
        <x:v>Common trade proxy</x:v>
      </x:c>
      <x:c r="I19" s="28" t="str">
        <x:v>Firm lump-sum items</x:v>
      </x:c>
      <x:c r="J19" s="46" t="n">
        <x:v>21323221.21</x:v>
      </x:c>
      <x:c r="K19" s="28" t="str">
        <x:v>Source price schedule</x:v>
      </x:c>
    </x:row>
    <x:row r="20">
      <x:c r="A20" s="28" t="str">
        <x:v>Typical blast and coat</x:v>
      </x:c>
      <x:c r="B20" s="28" t="str">
        <x:v>ea</x:v>
      </x:c>
      <x:c r="C20" s="46" t="n">
        <x:v>26759</x:v>
      </x:c>
      <x:c r="D20" s="46" t="n">
        <x:v>27561.77</x:v>
      </x:c>
      <x:c r="E20" s="46" t="n">
        <x:v>28388.62</x:v>
      </x:c>
      <x:c r="F20" s="46" t="n">
        <x:v>29240.28</x:v>
      </x:c>
      <x:c r="G20" s="28" t="str">
        <x:v>Common trade proxy; current access/overheads may be embedded</x:v>
      </x:c>
      <x:c r="I20" s="28" t="str">
        <x:v>Optional/provisional</x:v>
      </x:c>
      <x:c r="J20" s="46" t="n">
        <x:v>3515779.55</x:v>
      </x:c>
      <x:c r="K20" s="28" t="str">
        <x:v>If ordered</x:v>
      </x:c>
    </x:row>
    <x:row r="21">
      <x:c r="A21" s="28" t="str">
        <x:v>Denso 920 x 4.8 m</x:v>
      </x:c>
      <x:c r="B21" s="28" t="str">
        <x:v>pile</x:v>
      </x:c>
      <x:c r="C21" s="46" t="n">
        <x:v>5535</x:v>
      </x:c>
      <x:c r="D21" s="46" t="n">
        <x:v>5811.75</x:v>
      </x:c>
      <x:c r="E21" s="46"/>
      <x:c r="F21" s="46"/>
      <x:c r="G21" s="28" t="str">
        <x:v>Common trade proxy</x:v>
      </x:c>
      <x:c r="I21" s="28" t="str">
        <x:v>All identified access items, incl optional EJ, excl tooling</x:v>
      </x:c>
      <x:c r="J21" s="46" t="n">
        <x:v>9321981.62</x:v>
      </x:c>
      <x:c r="K21" s="28" t="str">
        <x:v>Recomputed from access rows</x:v>
      </x:c>
    </x:row>
    <x:row r="22">
      <x:c r="A22" s="28" t="str">
        <x:v>Denso 850 x 4.8 m</x:v>
      </x:c>
      <x:c r="B22" s="28" t="str">
        <x:v>pile</x:v>
      </x:c>
      <x:c r="C22" s="46" t="n">
        <x:v>5473</x:v>
      </x:c>
      <x:c r="D22" s="46" t="n">
        <x:v>5746.65</x:v>
      </x:c>
      <x:c r="E22" s="46"/>
      <x:c r="F22" s="46"/>
      <x:c r="G22" s="28" t="str">
        <x:v>Common trade proxy</x:v>
      </x:c>
      <x:c r="I22" s="28" t="str">
        <x:v>Firm access + bespoke tooling</x:v>
      </x:c>
      <x:c r="J22" s="46" t="n">
        <x:v>9275472.36</x:v>
      </x:c>
      <x:c r="K22" s="28" t="str">
        <x:v>Historic basis used for comparison</x:v>
      </x:c>
    </x:row>
    <x:row r="23">
      <x:c r="A23" s="28" t="str">
        <x:v>Weld 8 mm cutting prep</x:v>
      </x:c>
      <x:c r="B23" s="28" t="str">
        <x:v>lm</x:v>
      </x:c>
      <x:c r="C23" s="46" t="n">
        <x:v>96.54</x:v>
      </x:c>
      <x:c r="D23" s="46" t="n">
        <x:v>99.44</x:v>
      </x:c>
      <x:c r="E23" s="46" t="n">
        <x:v>102.42</x:v>
      </x:c>
      <x:c r="F23" s="46" t="n">
        <x:v>105.49</x:v>
      </x:c>
      <x:c r="G23" s="28" t="str">
        <x:v>Rate-only item</x:v>
      </x:c>
    </x:row>
    <x:row r="24">
      <x:c r="A24" s="28" t="str">
        <x:v>Weld 8 mm prep and weld</x:v>
      </x:c>
      <x:c r="B24" s="28" t="str">
        <x:v>lm</x:v>
      </x:c>
      <x:c r="C24" s="46" t="n">
        <x:v>241.28</x:v>
      </x:c>
      <x:c r="D24" s="46" t="n">
        <x:v>248.52</x:v>
      </x:c>
      <x:c r="E24" s="46" t="n">
        <x:v>255.97</x:v>
      </x:c>
      <x:c r="F24" s="46" t="n">
        <x:v>263.65</x:v>
      </x:c>
      <x:c r="G24" s="28" t="str">
        <x:v>10 mm variation rate not supplied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</x:cols>
  <x:sheetData>
    <x:row r="1" ht="30" customHeight="1">
      <x:c r="A1" s="5" t="str">
        <x:v>AAB Claimed Stage Quantities, March-July 2026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2" t="str">
        <x:v>Payment-stage quantities only. They do not establish QA-closed bent output.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Work item</x:v>
      </x:c>
      <x:c r="B4" s="20" t="str">
        <x:v>Unit</x:v>
      </x:c>
      <x:c r="C4" s="20" t="str">
        <x:v>Mar</x:v>
      </x:c>
      <x:c r="D4" s="20" t="str">
        <x:v>Apr</x:v>
      </x:c>
      <x:c r="E4" s="20" t="str">
        <x:v>May</x:v>
      </x:c>
      <x:c r="F4" s="20" t="str">
        <x:v>Jun</x:v>
      </x:c>
      <x:c r="G4" s="20" t="str">
        <x:v>Jul</x:v>
      </x:c>
      <x:c r="H4" s="20" t="str">
        <x:v>Total</x:v>
      </x:c>
      <x:c r="I4" s="20" t="str">
        <x:v>Calendar rate / week</x:v>
      </x:c>
      <x:c r="J4" s="20" t="str">
        <x:v>Best month</x:v>
      </x:c>
    </x:row>
    <x:row r="5">
      <x:c r="A5" s="28" t="str">
        <x:v>Provision of safe access</x:v>
      </x:c>
      <x:c r="B5" s="28" t="str">
        <x:v>bent eq</x:v>
      </x:c>
      <x:c r="C5" s="44" t="n">
        <x:v>0.5</x:v>
      </x:c>
      <x:c r="D5" s="44" t="n">
        <x:v>2.5</x:v>
      </x:c>
      <x:c r="E5" s="44" t="n">
        <x:v>0</x:v>
      </x:c>
      <x:c r="F5" s="44" t="n">
        <x:v>3.2</x:v>
      </x:c>
      <x:c r="G5" s="44" t="n">
        <x:v>1.7</x:v>
      </x:c>
      <x:c r="H5" s="44" t="n">
        <x:f>SUM(C5:G5)</x:f>
        <x:v>7.9</x:v>
      </x:c>
      <x:c r="I5" s="44" t="n">
        <x:f>H5/21.9</x:f>
        <x:v>0.36073059360730597</x:v>
      </x:c>
      <x:c r="J5" s="44" t="n">
        <x:f>MAX(C5:G5)</x:f>
        <x:v>3.2</x:v>
      </x:c>
    </x:row>
    <x:row r="6">
      <x:c r="A6" s="28" t="str">
        <x:v>Clean / inspect / UT / weld determination</x:v>
      </x:c>
      <x:c r="B6" s="28" t="str">
        <x:v>bent eq</x:v>
      </x:c>
      <x:c r="C6" s="44" t="n">
        <x:v>0</x:v>
      </x:c>
      <x:c r="D6" s="44" t="n">
        <x:v>5</x:v>
      </x:c>
      <x:c r="E6" s="44" t="n">
        <x:v>1</x:v>
      </x:c>
      <x:c r="F6" s="44" t="n">
        <x:v>0</x:v>
      </x:c>
      <x:c r="G6" s="44" t="n">
        <x:v>3</x:v>
      </x:c>
      <x:c r="H6" s="44" t="n">
        <x:f>SUM(C6:G6)</x:f>
        <x:v>9</x:v>
      </x:c>
      <x:c r="I6" s="44" t="n">
        <x:f>H6/21.9</x:f>
        <x:v>0.4109589041095891</x:v>
      </x:c>
      <x:c r="J6" s="44" t="n">
        <x:f>MAX(C6:G6)</x:f>
        <x:v>5</x:v>
      </x:c>
    </x:row>
    <x:row r="7">
      <x:c r="A7" s="28" t="str">
        <x:v>Abrasive blast and coating</x:v>
      </x:c>
      <x:c r="B7" s="28" t="str">
        <x:v>bent eq</x:v>
      </x:c>
      <x:c r="C7" s="44" t="n">
        <x:v>0</x:v>
      </x:c>
      <x:c r="D7" s="44" t="n">
        <x:v>0</x:v>
      </x:c>
      <x:c r="E7" s="44" t="n">
        <x:v>1</x:v>
      </x:c>
      <x:c r="F7" s="44" t="n">
        <x:v>3.5</x:v>
      </x:c>
      <x:c r="G7" s="44" t="n">
        <x:v>2.5</x:v>
      </x:c>
      <x:c r="H7" s="44" t="n">
        <x:f>SUM(C7:G7)</x:f>
        <x:v>7</x:v>
      </x:c>
      <x:c r="I7" s="44" t="n">
        <x:f>H7/21.9</x:f>
        <x:v>0.31963470319634707</x:v>
      </x:c>
      <x:c r="J7" s="44" t="n">
        <x:f>MAX(C7:G7)</x:f>
        <x:v>3.5</x:v>
      </x:c>
    </x:row>
    <x:row r="8">
      <x:c r="A8" s="28" t="str">
        <x:v>Denso 920 x 4.8 m</x:v>
      </x:c>
      <x:c r="B8" s="28" t="str">
        <x:v>pile eq</x:v>
      </x:c>
      <x:c r="C8" s="44" t="n">
        <x:v>0</x:v>
      </x:c>
      <x:c r="D8" s="44" t="n">
        <x:v>0</x:v>
      </x:c>
      <x:c r="E8" s="44" t="n">
        <x:v>1.32</x:v>
      </x:c>
      <x:c r="F8" s="44" t="n">
        <x:v>3.34</x:v>
      </x:c>
      <x:c r="G8" s="44" t="n">
        <x:v>7.34</x:v>
      </x:c>
      <x:c r="H8" s="44" t="n">
        <x:f>SUM(C8:G8)</x:f>
        <x:v>12</x:v>
      </x:c>
      <x:c r="I8" s="44" t="n">
        <x:f>H8/21.9</x:f>
        <x:v>0.5479452054794521</x:v>
      </x:c>
      <x:c r="J8" s="44" t="n">
        <x:f>MAX(C8:G8)</x:f>
        <x:v>7.34</x:v>
      </x:c>
    </x:row>
    <x:row r="9">
      <x:c r="A9" s="28" t="str">
        <x:v>Keeper angles</x:v>
      </x:c>
      <x:c r="B9" s="28" t="str">
        <x:v>ea</x:v>
      </x:c>
      <x:c r="C9" s="44" t="n">
        <x:v>0</x:v>
      </x:c>
      <x:c r="D9" s="44" t="n">
        <x:v>0</x:v>
      </x:c>
      <x:c r="E9" s="44" t="n">
        <x:v>2</x:v>
      </x:c>
      <x:c r="F9" s="44" t="n">
        <x:v>10</x:v>
      </x:c>
      <x:c r="G9" s="44" t="n">
        <x:v>4</x:v>
      </x:c>
      <x:c r="H9" s="44" t="n">
        <x:f>SUM(C9:G9)</x:f>
        <x:v>16</x:v>
      </x:c>
      <x:c r="I9" s="44" t="n">
        <x:f>H9/21.9</x:f>
        <x:v>0.7305936073059361</x:v>
      </x:c>
      <x:c r="J9" s="44" t="n">
        <x:f>MAX(C9:G9)</x:f>
        <x:v>10</x:v>
      </x:c>
    </x:row>
    <x:row r="10">
      <x:c r="A10" s="28" t="str">
        <x:v>8 mm prep and weld</x:v>
      </x:c>
      <x:c r="B10" s="28" t="str">
        <x:v>lm</x:v>
      </x:c>
      <x:c r="C10" s="44" t="n">
        <x:v>0</x:v>
      </x:c>
      <x:c r="D10" s="44" t="n">
        <x:v>0</x:v>
      </x:c>
      <x:c r="E10" s="44" t="n">
        <x:v>45.38</x:v>
      </x:c>
      <x:c r="F10" s="44" t="n">
        <x:v>89.52</x:v>
      </x:c>
      <x:c r="G10" s="44" t="n">
        <x:v>48.96</x:v>
      </x:c>
      <x:c r="H10" s="44" t="n">
        <x:f>SUM(C10:G10)</x:f>
        <x:v>183.86</x:v>
      </x:c>
      <x:c r="I10" s="44" t="n">
        <x:f>H10/21.9</x:f>
        <x:v>8.395433789954339</x:v>
      </x:c>
      <x:c r="J10" s="44" t="n">
        <x:f>MAX(C10:G10)</x:f>
        <x:v>89.52</x:v>
      </x:c>
    </x:row>
    <x:row r="11">
      <x:c r="A11" s="28" t="str">
        <x:v>10 mm prep and weld</x:v>
      </x:c>
      <x:c r="B11" s="28" t="str">
        <x:v>lm</x:v>
      </x:c>
      <x:c r="C11" s="44" t="n">
        <x:v>0</x:v>
      </x:c>
      <x:c r="D11" s="44" t="n">
        <x:v>0</x:v>
      </x:c>
      <x:c r="E11" s="44" t="n">
        <x:v>64.98</x:v>
      </x:c>
      <x:c r="F11" s="44" t="n">
        <x:v>112.27</x:v>
      </x:c>
      <x:c r="G11" s="44" t="n">
        <x:v>111.915</x:v>
      </x:c>
      <x:c r="H11" s="44" t="n">
        <x:f>SUM(C11:G11)</x:f>
        <x:v>289.165</x:v>
      </x:c>
      <x:c r="I11" s="44" t="n">
        <x:f>H11/21.9</x:f>
        <x:v>13.203881278538814</x:v>
      </x:c>
      <x:c r="J11" s="44" t="n">
        <x:f>MAX(C11:G11)</x:f>
        <x:v>112.27</x:v>
      </x:c>
    </x:row>
    <x:row r="12">
      <x:c r="A12" s="28" t="str">
        <x:v>Total weld prep and weld</x:v>
      </x:c>
      <x:c r="B12" s="28" t="str">
        <x:v>lm</x:v>
      </x:c>
      <x:c r="C12" s="44" t="n">
        <x:v>0</x:v>
      </x:c>
      <x:c r="D12" s="44" t="n">
        <x:v>0</x:v>
      </x:c>
      <x:c r="E12" s="44" t="n">
        <x:f>E10+E11</x:f>
        <x:v>110.36000000000001</x:v>
      </x:c>
      <x:c r="F12" s="44" t="n">
        <x:f>F10+F11</x:f>
        <x:v>201.79</x:v>
      </x:c>
      <x:c r="G12" s="44" t="n">
        <x:f>G10+G11</x:f>
        <x:v>160.875</x:v>
      </x:c>
      <x:c r="H12" s="44" t="n">
        <x:f>H10+H11</x:f>
        <x:v>473.02500000000003</x:v>
      </x:c>
      <x:c r="I12" s="44" t="n">
        <x:f>H12/21.9</x:f>
        <x:v>21.599315068493155</x:v>
      </x:c>
      <x:c r="J12" s="44" t="n">
        <x:f>MAX(C12:G12)</x:f>
        <x:v>201.79</x:v>
      </x:c>
    </x:row>
    <x:row r="15">
      <x:c r="A15" s="34" t="str">
        <x:v>Interpretation: Safe access averaged 0.36 bent equivalents per calendar week and blast/coating 0.32. The rate of fully completed and QA-closed bents cannot be verified from the supplied claim extract.</x:v>
      </x:c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</x:row>
  </x:sheetData>
  <x:mergeCells>
    <x:mergeCell ref="A1:J1"/>
    <x:mergeCell ref="A2:J2"/>
    <x:mergeCell ref="A15:J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28" hidden="0" customWidth="1"/>
  </x:cols>
  <x:sheetData>
    <x:row r="1" ht="30" customHeight="1">
      <x:c r="A1" s="5" t="str">
        <x:v>Current Contractor Programme 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Visible programme dates and durations. Native MPP logic, resource loading, constraints and critical path remain unverified.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SP</x:v>
      </x:c>
      <x:c r="B4" s="20" t="str">
        <x:v>Bent count</x:v>
      </x:c>
      <x:c r="C4" s="20" t="str">
        <x:v>Start</x:v>
      </x:c>
      <x:c r="D4" s="20" t="str">
        <x:v>Finish</x:v>
      </x:c>
      <x:c r="E4" s="20" t="str">
        <x:v>Calendar days</x:v>
      </x:c>
      <x:c r="F4" s="20" t="str">
        <x:v>Production weeks</x:v>
      </x:c>
      <x:c r="G4" s="20" t="str">
        <x:v>Planned bents/week</x:v>
      </x:c>
      <x:c r="H4" s="20" t="str">
        <x:v>Typical cycle</x:v>
      </x:c>
      <x:c r="I4" s="20" t="str">
        <x:v>Special / EJ cycle</x:v>
      </x:c>
      <x:c r="J4" s="20" t="str">
        <x:v>Evidence status</x:v>
      </x:c>
      <x:c r="K4" s="20" t="str">
        <x:v>Comment</x:v>
      </x:c>
    </x:row>
    <x:row r="5">
      <x:c r="A5" s="28" t="str">
        <x:v>SP1</x:v>
      </x:c>
      <x:c r="B5" s="28" t="n">
        <x:v>6</x:v>
      </x:c>
      <x:c r="C5" s="56" t="n">
        <x:v>45964</x:v>
      </x:c>
      <x:c r="D5" s="56" t="n">
        <x:v>46004</x:v>
      </x:c>
      <x:c r="E5" s="44" t="n">
        <x:f>D5-C5+1</x:f>
        <x:v>41</x:v>
      </x:c>
      <x:c r="F5" s="44" t="n">
        <x:f>E5/7</x:f>
        <x:v>5.857142857142857</x:v>
      </x:c>
      <x:c r="G5" s="44" t="n">
        <x:f>B5/F5</x:f>
        <x:v>1.024390243902439</x:v>
      </x:c>
      <x:c r="H5" s="28" t="str">
        <x:v>23-26 d</x:v>
      </x:c>
      <x:c r="I5" s="28" t="str">
        <x:v>n/a</x:v>
      </x:c>
      <x:c r="J5" s="28" t="str">
        <x:v>Visible schedule</x:v>
      </x:c>
      <x:c r="K5" s="28" t="str">
        <x:v>Early ramp-up</x:v>
      </x:c>
    </x:row>
    <x:row r="6">
      <x:c r="A6" s="28" t="str">
        <x:v>SP2</x:v>
      </x:c>
      <x:c r="B6" s="28" t="n">
        <x:v>27</x:v>
      </x:c>
      <x:c r="C6" s="56" t="n">
        <x:v>46116</x:v>
      </x:c>
      <x:c r="D6" s="56" t="n">
        <x:v>46202</x:v>
      </x:c>
      <x:c r="E6" s="44" t="n">
        <x:f>D6-C6+1</x:f>
        <x:v>87</x:v>
      </x:c>
      <x:c r="F6" s="44" t="n">
        <x:f>E6/7</x:f>
        <x:v>12.428571428571429</x:v>
      </x:c>
      <x:c r="G6" s="44" t="n">
        <x:f>B6/F6</x:f>
        <x:v>2.1724137931034484</x:v>
      </x:c>
      <x:c r="H6" s="28" t="str">
        <x:v>14-19 d</x:v>
      </x:c>
      <x:c r="I6" s="28" t="str">
        <x:v>23-37 d</x:v>
      </x:c>
      <x:c r="J6" s="28" t="str">
        <x:v>Visible schedule</x:v>
      </x:c>
      <x:c r="K6" s="28" t="str">
        <x:v>Includes PB275, PB281 and EJs</x:v>
      </x:c>
    </x:row>
    <x:row r="7">
      <x:c r="A7" s="28" t="str">
        <x:v>SP3</x:v>
      </x:c>
      <x:c r="B7" s="28" t="n">
        <x:v>60</x:v>
      </x:c>
      <x:c r="C7" s="56" t="n">
        <x:v>46209</x:v>
      </x:c>
      <x:c r="D7" s="56" t="n">
        <x:v>46372</x:v>
      </x:c>
      <x:c r="E7" s="44" t="n">
        <x:f>D7-C7+1</x:f>
        <x:v>164</x:v>
      </x:c>
      <x:c r="F7" s="44" t="n">
        <x:f>E7/7</x:f>
        <x:v>23.428571428571427</x:v>
      </x:c>
      <x:c r="G7" s="44" t="n">
        <x:f>B7/F7</x:f>
        <x:v>2.5609756097560976</x:v>
      </x:c>
      <x:c r="H7" s="28" t="str">
        <x:v>14-16 d</x:v>
      </x:c>
      <x:c r="I7" s="28" t="str">
        <x:v>20-40 d</x:v>
      </x:c>
      <x:c r="J7" s="28" t="str">
        <x:v>Visible schedule</x:v>
      </x:c>
      <x:c r="K7" s="28" t="str">
        <x:v>Large production block</x:v>
      </x:c>
    </x:row>
    <x:row r="8">
      <x:c r="A8" s="28" t="str">
        <x:v>SP4</x:v>
      </x:c>
      <x:c r="B8" s="28" t="n">
        <x:v>26</x:v>
      </x:c>
      <x:c r="C8" s="56" t="n">
        <x:v>46489</x:v>
      </x:c>
      <x:c r="D8" s="56" t="n">
        <x:v>46568</x:v>
      </x:c>
      <x:c r="E8" s="44" t="n">
        <x:f>D8-C8+1</x:f>
        <x:v>80</x:v>
      </x:c>
      <x:c r="F8" s="44" t="n">
        <x:f>E8/7</x:f>
        <x:v>11.428571428571429</x:v>
      </x:c>
      <x:c r="G8" s="44" t="n">
        <x:f>B8/F8</x:f>
        <x:v>2.275</x:v>
      </x:c>
      <x:c r="H8" s="28" t="str">
        <x:v>14-15 d</x:v>
      </x:c>
      <x:c r="I8" s="28" t="str">
        <x:v>20-37 d</x:v>
      </x:c>
      <x:c r="J8" s="28" t="str">
        <x:v>Visible schedule</x:v>
      </x:c>
      <x:c r="K8" s="28" t="str">
        <x:v>Dry-season block</x:v>
      </x:c>
    </x:row>
    <x:row r="9">
      <x:c r="A9" s="28" t="str">
        <x:v>SP5</x:v>
      </x:c>
      <x:c r="B9" s="28" t="n">
        <x:v>55</x:v>
      </x:c>
      <x:c r="C9" s="56" t="n">
        <x:v>46571</x:v>
      </x:c>
      <x:c r="D9" s="56" t="n">
        <x:v>46727</x:v>
      </x:c>
      <x:c r="E9" s="44" t="n">
        <x:f>D9-C9+1</x:f>
        <x:v>157</x:v>
      </x:c>
      <x:c r="F9" s="44" t="n">
        <x:f>E9/7</x:f>
        <x:v>22.428571428571427</x:v>
      </x:c>
      <x:c r="G9" s="44" t="n">
        <x:f>B9/F9</x:f>
        <x:v>2.4522292993630574</x:v>
      </x:c>
      <x:c r="H9" s="28" t="str">
        <x:v>14-15 d</x:v>
      </x:c>
      <x:c r="I9" s="28" t="str">
        <x:v>20-40 d</x:v>
      </x:c>
      <x:c r="J9" s="28" t="str">
        <x:v>Visible schedule</x:v>
      </x:c>
      <x:c r="K9" s="28" t="str">
        <x:v>Dry-season block</x:v>
      </x:c>
    </x:row>
    <x:row r="10">
      <x:c r="A10" s="28" t="str">
        <x:v>SP6</x:v>
      </x:c>
      <x:c r="B10" s="28" t="n">
        <x:v>28</x:v>
      </x:c>
      <x:c r="C10" s="56" t="n">
        <x:v>46846</x:v>
      </x:c>
      <x:c r="D10" s="56" t="n">
        <x:v>46931</x:v>
      </x:c>
      <x:c r="E10" s="44" t="n">
        <x:f>D10-C10+1</x:f>
        <x:v>86</x:v>
      </x:c>
      <x:c r="F10" s="44" t="n">
        <x:f>E10/7</x:f>
        <x:v>12.285714285714286</x:v>
      </x:c>
      <x:c r="G10" s="44" t="n">
        <x:f>B10/F10</x:f>
        <x:v>2.2790697674418605</x:v>
      </x:c>
      <x:c r="H10" s="28" t="str">
        <x:v>14-15 d</x:v>
      </x:c>
      <x:c r="I10" s="28" t="str">
        <x:v>37 d</x:v>
      </x:c>
      <x:c r="J10" s="28" t="str">
        <x:v>Visible schedule</x:v>
      </x:c>
      <x:c r="K10" s="28" t="str">
        <x:v>Dry-season block</x:v>
      </x:c>
    </x:row>
    <x:row r="11">
      <x:c r="A11" s="28" t="str">
        <x:v>SP7</x:v>
      </x:c>
      <x:c r="B11" s="28" t="n">
        <x:v>55</x:v>
      </x:c>
      <x:c r="C11" s="56" t="n">
        <x:v>46938</x:v>
      </x:c>
      <x:c r="D11" s="56" t="n">
        <x:v>47089</x:v>
      </x:c>
      <x:c r="E11" s="44" t="n">
        <x:f>D11-C11+1</x:f>
        <x:v>152</x:v>
      </x:c>
      <x:c r="F11" s="44" t="n">
        <x:f>E11/7</x:f>
        <x:v>21.714285714285715</x:v>
      </x:c>
      <x:c r="G11" s="44" t="n">
        <x:f>B11/F11</x:f>
        <x:v>2.5328947368421053</x:v>
      </x:c>
      <x:c r="H11" s="28" t="str">
        <x:v>14-15 d</x:v>
      </x:c>
      <x:c r="I11" s="28" t="str">
        <x:v>20-37 d</x:v>
      </x:c>
      <x:c r="J11" s="28" t="str">
        <x:v>Visible schedule</x:v>
      </x:c>
      <x:c r="K11" s="28" t="str">
        <x:v>Final block</x:v>
      </x:c>
    </x:row>
    <x:row r="12">
      <x:c r="A12" s="50" t="str">
        <x:v>TOTAL</x:v>
      </x:c>
      <x:c r="B12" s="50" t="n">
        <x:v>257</x:v>
      </x:c>
      <x:c r="C12" s="60" t="n">
        <x:v>45964</x:v>
      </x:c>
      <x:c r="D12" s="60" t="n">
        <x:v>47089</x:v>
      </x:c>
      <x:c r="E12" s="61" t="str"/>
      <x:c r="F12" s="61" t="str"/>
      <x:c r="G12" s="61" t="n">
        <x:f>SUM(B5:B11)/SUM(F5:F11)</x:f>
        <x:v>2.345501955671447</x:v>
      </x:c>
      <x:c r="H12" s="50" t="str"/>
      <x:c r="I12" s="50" t="str"/>
      <x:c r="J12" s="50" t="str"/>
      <x:c r="K12" s="50" t="str"/>
    </x:row>
    <x:row r="16">
      <x:c r="A16" s="20" t="str">
        <x:v>Representative typical bent stage</x:v>
      </x:c>
      <x:c r="B16" s="20" t="str">
        <x:v>Indicative planned days</x:v>
      </x:c>
      <x:c r="C16" s="20" t="str">
        <x:v>Character</x:v>
      </x:c>
      <x:c r="D16" s="20" t="str">
        <x:v>Source / limitation</x:v>
      </x:c>
      <x:c r="F16" s="20" t="str">
        <x:v>Programme observation</x:v>
      </x:c>
      <x:c r="G16" s="20" t="str">
        <x:v>Evidence</x:v>
      </x:c>
      <x:c r="H16" s="20" t="str">
        <x:v>Consequence</x:v>
      </x:c>
    </x:row>
    <x:row r="17">
      <x:c r="A17" s="28" t="str">
        <x:v>Scaffold erection and encapsulation</x:v>
      </x:c>
      <x:c r="B17" s="28" t="n">
        <x:v>2</x:v>
      </x:c>
      <x:c r="C17" s="28" t="str">
        <x:v>Access handling</x:v>
      </x:c>
      <x:c r="D17" s="28" t="str">
        <x:v>Visible programme</x:v>
      </x:c>
      <x:c r="F17" s="28" t="str">
        <x:v>Starts are staggered every 2-3 days in major production blocks</x:v>
      </x:c>
      <x:c r="G17" s="28" t="str">
        <x:v>Visible schedule</x:v>
      </x:c>
      <x:c r="H17" s="28" t="str">
        <x:v>Requires multiple bents in progress; does not prove nine scaffold sets</x:v>
      </x:c>
    </x:row>
    <x:row r="18">
      <x:c r="A18" s="28" t="str">
        <x:v>Wash / inspection / UT</x:v>
      </x:c>
      <x:c r="B18" s="28" t="n">
        <x:v>1</x:v>
      </x:c>
      <x:c r="C18" s="28" t="str">
        <x:v>Trade</x:v>
      </x:c>
      <x:c r="D18" s="28" t="str">
        <x:v>Visible programme</x:v>
      </x:c>
      <x:c r="F18" s="28" t="str">
        <x:v>Typical duration is usually 14-16 days</x:v>
      </x:c>
      <x:c r="G18" s="28" t="str">
        <x:v>Visible schedule</x:v>
      </x:c>
      <x:c r="H18" s="28" t="str">
        <x:v>Planned block rate about 2.2-2.6 bents/week</x:v>
      </x:c>
    </x:row>
    <x:row r="19">
      <x:c r="A19" s="28" t="str">
        <x:v>Repair approval hold</x:v>
      </x:c>
      <x:c r="B19" s="28" t="n">
        <x:v>3</x:v>
      </x:c>
      <x:c r="C19" s="28" t="str">
        <x:v>Waiting</x:v>
      </x:c>
      <x:c r="D19" s="28" t="str">
        <x:v>Visible programme</x:v>
      </x:c>
      <x:c r="F19" s="28" t="str">
        <x:v>Passing bays and anchors take about 20-22 days</x:v>
      </x:c>
      <x:c r="G19" s="28" t="str">
        <x:v>Visible schedule</x:v>
      </x:c>
      <x:c r="H19" s="28" t="str">
        <x:v>Family-specific method required</x:v>
      </x:c>
    </x:row>
    <x:row r="20">
      <x:c r="A20" s="28" t="str">
        <x:v>Welding</x:v>
      </x:c>
      <x:c r="B20" s="28" t="n">
        <x:v>2</x:v>
      </x:c>
      <x:c r="C20" s="28" t="str">
        <x:v>Trade, variable</x:v>
      </x:c>
      <x:c r="D20" s="28" t="str">
        <x:v>Typical programme allowance; actual quantity much higher</x:v>
      </x:c>
      <x:c r="F20" s="28" t="str">
        <x:v>Expansion joints take about 37-40 days</x:v>
      </x:c>
      <x:c r="G20" s="28" t="str">
        <x:v>Visible schedule</x:v>
      </x:c>
      <x:c r="H20" s="28" t="str">
        <x:v>Separate critical workstream</x:v>
      </x:c>
    </x:row>
    <x:row r="21">
      <x:c r="A21" s="28" t="str">
        <x:v>Blast and two coats</x:v>
      </x:c>
      <x:c r="B21" s="28" t="n">
        <x:v>3</x:v>
      </x:c>
      <x:c r="C21" s="28" t="str">
        <x:v>Trade / elapsed coating</x:v>
      </x:c>
      <x:c r="D21" s="28" t="str">
        <x:v>Visible programme</x:v>
      </x:c>
      <x:c r="F21" s="28" t="str">
        <x:v>Native schedule logic not independently verified</x:v>
      </x:c>
      <x:c r="G21" s="28" t="str">
        <x:v>Source limitation</x:v>
      </x:c>
      <x:c r="H21" s="28" t="str">
        <x:v>Do not claim critical path or resource loading</x:v>
      </x:c>
    </x:row>
    <x:row r="22">
      <x:c r="A22" s="28" t="str">
        <x:v>Denso jackets</x:v>
      </x:c>
      <x:c r="B22" s="28" t="n">
        <x:v>0</x:v>
      </x:c>
      <x:c r="C22" s="28" t="str">
        <x:v>Tide-limited</x:v>
      </x:c>
      <x:c r="D22" s="28" t="str">
        <x:v>Many typical programme rows show 0; actual scope varies</x:v>
      </x:c>
    </x:row>
    <x:row r="23">
      <x:c r="A23" s="28" t="str">
        <x:v>Scaffold dismantle</x:v>
      </x:c>
      <x:c r="B23" s="28" t="n">
        <x:v>1</x:v>
      </x:c>
      <x:c r="C23" s="28" t="str">
        <x:v>Access handling</x:v>
      </x:c>
      <x:c r="D23" s="28" t="str">
        <x:v>Visible programme</x:v>
      </x:c>
    </x:row>
    <x:row r="24">
      <x:c r="A24" s="28" t="str">
        <x:v>Sundays / calendar</x:v>
      </x:c>
      <x:c r="B24" s="28" t="n">
        <x:v>2</x:v>
      </x:c>
      <x:c r="C24" s="28" t="str">
        <x:v>Calendar</x:v>
      </x:c>
      <x:c r="D24" s="28" t="str">
        <x:v>Visible programme</x:v>
      </x:c>
    </x:row>
    <x:row r="25">
      <x:c r="A25" s="28" t="str">
        <x:v>Representative total</x:v>
      </x:c>
      <x:c r="B25" s="28" t="n">
        <x:v>14</x:v>
      </x:c>
      <x:c r="C25" s="28" t="str">
        <x:v>Planned cycle</x:v>
      </x:c>
      <x:c r="D25" s="28" t="str">
        <x:v>Programme rows commonly 14-15 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0" hidden="0" customWidth="1"/>
    <x:col min="5" max="5" width="16" hidden="0" customWidth="1"/>
    <x:col min="6" max="6" width="46" hidden="0" customWidth="1"/>
  </x:cols>
  <x:sheetData>
    <x:row r="1" ht="30" customHeight="1">
      <x:c r="A1" s="5" t="str">
        <x:v>Current Method Baseline</x:v>
      </x:c>
      <x:c r="B1" s="5"/>
      <x:c r="C1" s="5"/>
      <x:c r="D1" s="5"/>
      <x:c r="E1" s="5"/>
      <x:c r="F1" s="5"/>
    </x:row>
    <x:row r="2" ht="30" customHeight="1">
      <x:c r="A2" s="12" t="str">
        <x:v>Separates planned programme, claimed stage output and historic contract cost basis.</x:v>
      </x:c>
      <x:c r="B2" s="12"/>
      <x:c r="C2" s="12"/>
      <x:c r="D2" s="12"/>
      <x:c r="E2" s="12"/>
      <x:c r="F2" s="12"/>
    </x:row>
    <x:row r="4">
      <x:c r="A4" s="20" t="str">
        <x:v>Metric</x:v>
      </x:c>
      <x:c r="B4" s="20" t="str">
        <x:v>Value</x:v>
      </x:c>
      <x:c r="C4" s="20" t="str">
        <x:v>Unit</x:v>
      </x:c>
      <x:c r="D4" s="20" t="str">
        <x:v>Basis</x:v>
      </x:c>
      <x:c r="E4" s="20" t="str">
        <x:v>Confidence</x:v>
      </x:c>
      <x:c r="F4" s="20" t="str">
        <x:v>Interpretation</x:v>
      </x:c>
    </x:row>
    <x:row r="5">
      <x:c r="A5" s="28" t="str">
        <x:v>Original firm bent quantity</x:v>
      </x:c>
      <x:c r="B5" s="44" t="n">
        <x:v>237</x:v>
      </x:c>
      <x:c r="C5" s="28" t="str">
        <x:v>bents</x:v>
      </x:c>
      <x:c r="D5" s="28" t="str">
        <x:v>Contract Appendix D</x:v>
      </x:c>
      <x:c r="E5" s="28" t="str">
        <x:v>High</x:v>
      </x:c>
      <x:c r="F5" s="28" t="str">
        <x:v>Does not equal current remaining scope</x:v>
      </x:c>
    </x:row>
    <x:row r="6">
      <x:c r="A6" s="28" t="str">
        <x:v>Optional expansion joints</x:v>
      </x:c>
      <x:c r="B6" s="44" t="n">
        <x:v>20</x:v>
      </x:c>
      <x:c r="C6" s="28" t="str">
        <x:v>bents</x:v>
      </x:c>
      <x:c r="D6" s="28" t="str">
        <x:v>Contract Appendix D</x:v>
      </x:c>
      <x:c r="E6" s="28" t="str">
        <x:v>High</x:v>
      </x:c>
      <x:c r="F6" s="28" t="str">
        <x:v>Optional</x:v>
      </x:c>
    </x:row>
    <x:row r="7">
      <x:c r="A7" s="28" t="str">
        <x:v>Programme overall block rate</x:v>
      </x:c>
      <x:c r="B7" s="44" t="n">
        <x:f>'06 AAB Programme'!G12</x:f>
        <x:v>2.345501955671447</x:v>
      </x:c>
      <x:c r="C7" s="28" t="str">
        <x:v>bents/week</x:v>
      </x:c>
      <x:c r="D7" s="28" t="str">
        <x:v>Visible schedule production windows</x:v>
      </x:c>
      <x:c r="E7" s="28" t="str">
        <x:v>Medium</x:v>
      </x:c>
      <x:c r="F7" s="28" t="str">
        <x:v>Approximate planned completion pace</x:v>
      </x:c>
    </x:row>
    <x:row r="8">
      <x:c r="A8" s="28" t="str">
        <x:v>Typical planned cycle</x:v>
      </x:c>
      <x:c r="B8" s="44" t="n">
        <x:v>15</x:v>
      </x:c>
      <x:c r="C8" s="28" t="str">
        <x:v>calendar days</x:v>
      </x:c>
      <x:c r="D8" s="28" t="str">
        <x:v>Visible schedule</x:v>
      </x:c>
      <x:c r="E8" s="28" t="str">
        <x:v>Medium</x:v>
      </x:c>
      <x:c r="F8" s="28" t="str">
        <x:v>14-15 d common</x:v>
      </x:c>
    </x:row>
    <x:row r="9">
      <x:c r="A9" s="28" t="str">
        <x:v>Safe-access claimed rate</x:v>
      </x:c>
      <x:c r="B9" s="44" t="n">
        <x:f>'05 AAB Claims'!I5</x:f>
        <x:v>0.36073059360730597</x:v>
      </x:c>
      <x:c r="C9" s="28" t="str">
        <x:v>stage eq/week</x:v>
      </x:c>
      <x:c r="D9" s="28" t="str">
        <x:v>7.9 / 21.9 weeks</x:v>
      </x:c>
      <x:c r="E9" s="28" t="str">
        <x:v>High calculation</x:v>
      </x:c>
      <x:c r="F9" s="28" t="str">
        <x:v>Not completed-bent rate</x:v>
      </x:c>
    </x:row>
    <x:row r="10">
      <x:c r="A10" s="28" t="str">
        <x:v>Blast/coat claimed rate</x:v>
      </x:c>
      <x:c r="B10" s="44" t="n">
        <x:f>'05 AAB Claims'!I7</x:f>
        <x:v>0.31963470319634707</x:v>
      </x:c>
      <x:c r="C10" s="28" t="str">
        <x:v>stage eq/week</x:v>
      </x:c>
      <x:c r="D10" s="28" t="str">
        <x:v>7.0 / 21.9 weeks</x:v>
      </x:c>
      <x:c r="E10" s="28" t="str">
        <x:v>High calculation</x:v>
      </x:c>
      <x:c r="F10" s="28" t="str">
        <x:v>Not completed-bent rate</x:v>
      </x:c>
    </x:row>
    <x:row r="11">
      <x:c r="A11" s="28" t="str">
        <x:v>Weld claimed rate</x:v>
      </x:c>
      <x:c r="B11" s="44" t="n">
        <x:f>'05 AAB Claims'!I12</x:f>
        <x:v>21.599315068493155</x:v>
      </x:c>
      <x:c r="C11" s="28" t="str">
        <x:v>lm/week</x:v>
      </x:c>
      <x:c r="D11" s="28" t="str">
        <x:v>473.025 / 21.9 weeks</x:v>
      </x:c>
      <x:c r="E11" s="28" t="str">
        <x:v>High calculation</x:v>
      </x:c>
      <x:c r="F11" s="28" t="str">
        <x:v>Calendar rate</x:v>
      </x:c>
    </x:row>
    <x:row r="12">
      <x:c r="A12" s="28" t="str">
        <x:v>Historic access + tooling basis</x:v>
      </x:c>
      <x:c r="B12" s="46" t="n">
        <x:v>9275472.36</x:v>
      </x:c>
      <x:c r="C12" s="28" t="str">
        <x:v>AUD</x:v>
      </x:c>
      <x:c r="D12" s="28" t="str">
        <x:v>Contract price schedule</x:v>
      </x:c>
      <x:c r="E12" s="28" t="str">
        <x:v>High</x:v>
      </x:c>
      <x:c r="F12" s="28" t="str">
        <x:v>Not remaining avoidable cost</x:v>
      </x:c>
    </x:row>
    <x:row r="13">
      <x:c r="A13" s="28" t="str">
        <x:v>Historic access basis / firm bent</x:v>
      </x:c>
      <x:c r="B13" s="46" t="n">
        <x:f>B12/B5</x:f>
        <x:v>39137.014177215184</x:v>
      </x:c>
      <x:c r="C13" s="28" t="str">
        <x:v>AUD/bent</x:v>
      </x:c>
      <x:c r="D13" s="28" t="str">
        <x:v>Historic contract arithmetic</x:v>
      </x:c>
      <x:c r="E13" s="28" t="str">
        <x:v>High calculation</x:v>
      </x:c>
      <x:c r="F13" s="28" t="str">
        <x:v>Includes access/tooling, not trade work</x:v>
      </x:c>
    </x:row>
    <x:row r="14">
      <x:c r="A14" s="28" t="str">
        <x:v>Total contract value</x:v>
      </x:c>
      <x:c r="B14" s="46" t="n">
        <x:v>24839000.77</x:v>
      </x:c>
      <x:c r="C14" s="28" t="str">
        <x:v>AUD</x:v>
      </x:c>
      <x:c r="D14" s="28" t="str">
        <x:v>Contract price schedule</x:v>
      </x:c>
      <x:c r="E14" s="28" t="str">
        <x:v>High</x:v>
      </x:c>
      <x:c r="F14" s="28" t="str">
        <x:v>Includes optional/provisional</x:v>
      </x:c>
    </x:row>
    <x:row r="17">
      <x:c r="A17" s="20" t="str">
        <x:v>Observed constraint</x:v>
      </x:c>
      <x:c r="B17" s="20" t="str">
        <x:v>Project evidence</x:v>
      </x:c>
      <x:c r="C17" s="20" t="str">
        <x:v>Model treatment</x:v>
      </x:c>
    </x:row>
    <x:row r="18">
      <x:c r="A18" s="28" t="str">
        <x:v>Four scaffold sets did not equal four usable fronts</x:v>
      </x:c>
      <x:c r="B18" s="28" t="str">
        <x:v>15 and 25 July reports</x:v>
      </x:c>
      <x:c r="C18" s="28" t="str">
        <x:v>Access availability is not assumed equal to inventory</x:v>
      </x:c>
    </x:row>
    <x:row r="19">
      <x:c r="A19" s="28" t="str">
        <x:v>Welders stood down for insufficient safe fronts</x:v>
      </x:c>
      <x:c r="B19" s="28" t="str">
        <x:v>15 July report</x:v>
      </x:c>
      <x:c r="C19" s="28" t="str">
        <x:v>Current actual output remains a separate baseline</x:v>
      </x:c>
    </x:row>
    <x:row r="20">
      <x:c r="A20" s="28" t="str">
        <x:v>Only two fronts available for welding</x:v>
      </x:c>
      <x:c r="B20" s="28" t="str">
        <x:v>25 July report</x:v>
      </x:c>
      <x:c r="C20" s="28" t="str">
        <x:v>Workfront capacity is a fleet-design input</x:v>
      </x:c>
    </x:row>
    <x:row r="21">
      <x:c r="A21" s="28" t="str">
        <x:v>Hidden defects found after blasting and reblast required</x:v>
      </x:c>
      <x:c r="B21" s="28" t="str">
        <x:v>25 July report</x:v>
      </x:c>
      <x:c r="C21" s="28" t="str">
        <x:v>Diagnostic blast / repair library retained</x:v>
      </x:c>
    </x:row>
    <x:row r="22">
      <x:c r="A22" s="28" t="str">
        <x:v>Waves restricted lowest deck</x:v>
      </x:c>
      <x:c r="B22" s="28" t="str">
        <x:v>25 July report</x:v>
      </x:c>
      <x:c r="C22" s="28" t="str">
        <x:v>Below-LAT method remains a gate</x:v>
      </x:c>
    </x:row>
    <x:row r="23">
      <x:c r="A23" s="28" t="str">
        <x:v>Scaffold contact caused coating touch-up</x:v>
      </x:c>
      <x:c r="B23" s="28" t="str">
        <x:v>25 July report</x:v>
      </x:c>
      <x:c r="C23" s="28" t="str">
        <x:v>Proposed access must minimise contact shadowing</x:v>
      </x:c>
    </x:row>
    <x:row r="24">
      <x:c r="A24" s="28" t="str">
        <x:v>Scaffold dismantling backlog after poor weather</x:v>
      </x:c>
      <x:c r="B24" s="28" t="str">
        <x:v>10 July report</x:v>
      </x:c>
      <x:c r="C24" s="28" t="str">
        <x:v>Move cycle and recovery treated explicitly</x:v>
      </x:c>
    </x:row>
    <x:row r="25">
      <x:c r="A25" s="28"/>
      <x:c r="B25" s="28"/>
      <x:c r="C25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10" max="10" width="28" hidden="0" customWidth="1"/>
    <x:col min="11" max="11" width="34" hidden="0" customWidth="1"/>
    <x:col min="12" max="12" width="32" hidden="0" customWidth="1"/>
    <x:col min="13" max="13" width="34" hidden="0" customWidth="1"/>
  </x:cols>
  <x:sheetData>
    <x:row r="1" ht="30" customHeight="1">
      <x:c r="A1" s="5" t="str">
        <x:v>Access Options Screening and Multi-Criteria Assessment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2" t="str">
        <x:v>Preliminary concept-level scoring. Scores must be revisited after supplier and site verification.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Criterion</x:v>
      </x:c>
      <x:c r="B4" s="20" t="str">
        <x:v>Weight</x:v>
      </x:c>
      <x:c r="C4" s="20" t="str">
        <x:v>Current scaffold</x:v>
      </x:c>
      <x:c r="D4" s="20" t="str">
        <x:v>JUB direct workface</x:v>
      </x:c>
      <x:c r="E4" s="20" t="str">
        <x:v>Floating / spud barge</x:v>
      </x:c>
      <x:c r="F4" s="20" t="str">
        <x:v>Suspended floating platforms</x:v>
      </x:c>
      <x:c r="G4" s="20" t="str">
        <x:v>Rope / workboat</x:v>
      </x:c>
      <x:c r="H4" s="20" t="str">
        <x:v>Hybrid recommended</x:v>
      </x:c>
      <x:c r="J4" s="20" t="str">
        <x:v>Option</x:v>
      </x:c>
      <x:c r="K4" s="20" t="str">
        <x:v>Screening conclusion</x:v>
      </x:c>
      <x:c r="L4" s="20" t="str">
        <x:v>Primary reason</x:v>
      </x:c>
      <x:c r="M4" s="20" t="str">
        <x:v>Residual concern</x:v>
      </x:c>
    </x:row>
    <x:row r="5">
      <x:c r="A5" s="28" t="str">
        <x:v>QA-closed productivity</x:v>
      </x:c>
      <x:c r="B5" s="66" t="n">
        <x:v>0.2</x:v>
      </x:c>
      <x:c r="C5" s="28" t="n">
        <x:v>2</x:v>
      </x:c>
      <x:c r="D5" s="28" t="n">
        <x:v>3</x:v>
      </x:c>
      <x:c r="E5" s="28" t="n">
        <x:v>3</x:v>
      </x:c>
      <x:c r="F5" s="28" t="n">
        <x:v>4</x:v>
      </x:c>
      <x:c r="G5" s="28" t="n">
        <x:v>2</x:v>
      </x:c>
      <x:c r="H5" s="28" t="n">
        <x:v>4</x:v>
      </x:c>
      <x:c r="J5" s="28" t="str">
        <x:v>Current scaffold</x:v>
      </x:c>
      <x:c r="K5" s="28" t="str">
        <x:v>Retain as baseline and selective fallback</x:v>
      </x:c>
      <x:c r="L5" s="28" t="str">
        <x:v>Full bent coverage and established containment</x:v>
      </x:c>
      <x:c r="M5" s="28" t="str">
        <x:v>Serial build/strip, roadway and standing-time exposure</x:v>
      </x:c>
    </x:row>
    <x:row r="6">
      <x:c r="A6" s="28" t="str">
        <x:v>Safety and rescue</x:v>
      </x:c>
      <x:c r="B6" s="66" t="n">
        <x:v>0.15</x:v>
      </x:c>
      <x:c r="C6" s="28" t="n">
        <x:v>3</x:v>
      </x:c>
      <x:c r="D6" s="28" t="n">
        <x:v>4</x:v>
      </x:c>
      <x:c r="E6" s="28" t="n">
        <x:v>3</x:v>
      </x:c>
      <x:c r="F6" s="28" t="n">
        <x:v>3</x:v>
      </x:c>
      <x:c r="G6" s="28" t="n">
        <x:v>3</x:v>
      </x:c>
      <x:c r="H6" s="28" t="n">
        <x:v>4</x:v>
      </x:c>
      <x:c r="J6" s="28" t="str">
        <x:v>JUB direct workface</x:v>
      </x:c>
      <x:c r="K6" s="28" t="str">
        <x:v>Shortlist for concentrated/special areas only</x:v>
      </x:c>
      <x:c r="L6" s="28" t="str">
        <x:v>Stable deck and crane</x:v>
      </x:c>
      <x:c r="M6" s="28" t="str">
        <x:v>Bathymetry, relocation and cost</x:v>
      </x:c>
    </x:row>
    <x:row r="7">
      <x:c r="A7" s="28" t="str">
        <x:v>Containment / environment</x:v>
      </x:c>
      <x:c r="B7" s="66" t="n">
        <x:v>0.15</x:v>
      </x:c>
      <x:c r="C7" s="28" t="n">
        <x:v>4</x:v>
      </x:c>
      <x:c r="D7" s="28" t="n">
        <x:v>4</x:v>
      </x:c>
      <x:c r="E7" s="28" t="n">
        <x:v>3</x:v>
      </x:c>
      <x:c r="F7" s="28" t="n">
        <x:v>4</x:v>
      </x:c>
      <x:c r="G7" s="28" t="n">
        <x:v>1</x:v>
      </x:c>
      <x:c r="H7" s="28" t="n">
        <x:v>4</x:v>
      </x:c>
      <x:c r="J7" s="28" t="str">
        <x:v>Floating / spud barge</x:v>
      </x:c>
      <x:c r="K7" s="28" t="str">
        <x:v>Reserve option</x:v>
      </x:c>
      <x:c r="L7" s="28" t="str">
        <x:v>Marine logistics and tide following</x:v>
      </x:c>
      <x:c r="M7" s="28" t="str">
        <x:v>Motion and containment</x:v>
      </x:c>
    </x:row>
    <x:row r="8">
      <x:c r="A8" s="28" t="str">
        <x:v>Bent-family coverage</x:v>
      </x:c>
      <x:c r="B8" s="66" t="n">
        <x:v>0.1</x:v>
      </x:c>
      <x:c r="C8" s="28" t="n">
        <x:v>5</x:v>
      </x:c>
      <x:c r="D8" s="28" t="n">
        <x:v>3</x:v>
      </x:c>
      <x:c r="E8" s="28" t="n">
        <x:v>3</x:v>
      </x:c>
      <x:c r="F8" s="28" t="n">
        <x:v>4</x:v>
      </x:c>
      <x:c r="G8" s="28" t="n">
        <x:v>2</x:v>
      </x:c>
      <x:c r="H8" s="28" t="n">
        <x:v>5</x:v>
      </x:c>
      <x:c r="J8" s="28" t="str">
        <x:v>Suspended floating platforms</x:v>
      </x:c>
      <x:c r="K8" s="28" t="str">
        <x:v>Preferred typical-bent access candidate</x:v>
      </x:c>
      <x:c r="L8" s="28" t="str">
        <x:v>Removes repeated scaffold build/strip</x:v>
      </x:c>
      <x:c r="M8" s="28" t="str">
        <x:v>Temporary works, fleet scale and service architecture</x:v>
      </x:c>
    </x:row>
    <x:row r="9">
      <x:c r="A9" s="28" t="str">
        <x:v>Weather / tide operability</x:v>
      </x:c>
      <x:c r="B9" s="66" t="n">
        <x:v>0.1</x:v>
      </x:c>
      <x:c r="C9" s="28" t="n">
        <x:v>2</x:v>
      </x:c>
      <x:c r="D9" s="28" t="n">
        <x:v>4</x:v>
      </x:c>
      <x:c r="E9" s="28" t="n">
        <x:v>3</x:v>
      </x:c>
      <x:c r="F9" s="28" t="n">
        <x:v>4</x:v>
      </x:c>
      <x:c r="G9" s="28" t="n">
        <x:v>3</x:v>
      </x:c>
      <x:c r="H9" s="28" t="n">
        <x:v>4</x:v>
      </x:c>
      <x:c r="J9" s="28" t="str">
        <x:v>Rope / workboat</x:v>
      </x:c>
      <x:c r="K9" s="28" t="str">
        <x:v>Complementary only</x:v>
      </x:c>
      <x:c r="L9" s="28" t="str">
        <x:v>Low structural load and rapid access</x:v>
      </x:c>
      <x:c r="M9" s="28" t="str">
        <x:v>Not suitable for abrasive blast containment</x:v>
      </x:c>
    </x:row>
    <x:row r="10">
      <x:c r="A10" s="28" t="str">
        <x:v>Structural interface / loading</x:v>
      </x:c>
      <x:c r="B10" s="66" t="n">
        <x:v>0.1</x:v>
      </x:c>
      <x:c r="C10" s="28" t="n">
        <x:v>3</x:v>
      </x:c>
      <x:c r="D10" s="28" t="n">
        <x:v>4</x:v>
      </x:c>
      <x:c r="E10" s="28" t="n">
        <x:v>3</x:v>
      </x:c>
      <x:c r="F10" s="28" t="n">
        <x:v>3</x:v>
      </x:c>
      <x:c r="G10" s="28" t="n">
        <x:v>5</x:v>
      </x:c>
      <x:c r="H10" s="28" t="n">
        <x:v>3</x:v>
      </x:c>
      <x:c r="J10" s="28" t="str">
        <x:v>Hybrid</x:v>
      </x:c>
      <x:c r="K10" s="28" t="str">
        <x:v>Preferred campaign strategy</x:v>
      </x:c>
      <x:c r="L10" s="28" t="str">
        <x:v>Matches method to family and work type</x:v>
      </x:c>
      <x:c r="M10" s="28" t="str">
        <x:v>More interfaces and planning</x:v>
      </x:c>
    </x:row>
    <x:row r="11">
      <x:c r="A11" s="28" t="str">
        <x:v>Roadway / shipping interference</x:v>
      </x:c>
      <x:c r="B11" s="66" t="n">
        <x:v>0.05</x:v>
      </x:c>
      <x:c r="C11" s="28" t="n">
        <x:v>2</x:v>
      </x:c>
      <x:c r="D11" s="28" t="n">
        <x:v>3</x:v>
      </x:c>
      <x:c r="E11" s="28" t="n">
        <x:v>4</x:v>
      </x:c>
      <x:c r="F11" s="28" t="n">
        <x:v>5</x:v>
      </x:c>
      <x:c r="G11" s="28" t="n">
        <x:v>5</x:v>
      </x:c>
      <x:c r="H11" s="28" t="n">
        <x:v>4</x:v>
      </x:c>
      <x:c r="J11" s="28"/>
      <x:c r="K11" s="28"/>
      <x:c r="L11" s="28"/>
      <x:c r="M11" s="28"/>
    </x:row>
    <x:row r="12">
      <x:c r="A12" s="28" t="str">
        <x:v>Cyclone recovery</x:v>
      </x:c>
      <x:c r="B12" s="66" t="n">
        <x:v>0.05</x:v>
      </x:c>
      <x:c r="C12" s="28" t="n">
        <x:v>3</x:v>
      </x:c>
      <x:c r="D12" s="28" t="n">
        <x:v>2</x:v>
      </x:c>
      <x:c r="E12" s="28" t="n">
        <x:v>3</x:v>
      </x:c>
      <x:c r="F12" s="28" t="n">
        <x:v>3</x:v>
      </x:c>
      <x:c r="G12" s="28" t="n">
        <x:v>4</x:v>
      </x:c>
      <x:c r="H12" s="28" t="n">
        <x:v>4</x:v>
      </x:c>
    </x:row>
    <x:row r="13">
      <x:c r="A13" s="28" t="str">
        <x:v>Mobilisation / availability</x:v>
      </x:c>
      <x:c r="B13" s="66" t="n">
        <x:v>0.05</x:v>
      </x:c>
      <x:c r="C13" s="28" t="n">
        <x:v>4</x:v>
      </x:c>
      <x:c r="D13" s="28" t="n">
        <x:v>2</x:v>
      </x:c>
      <x:c r="E13" s="28" t="n">
        <x:v>3</x:v>
      </x:c>
      <x:c r="F13" s="28" t="n">
        <x:v>3</x:v>
      </x:c>
      <x:c r="G13" s="28" t="n">
        <x:v>4</x:v>
      </x:c>
      <x:c r="H13" s="28" t="n">
        <x:v>3</x:v>
      </x:c>
    </x:row>
    <x:row r="14">
      <x:c r="A14" s="28" t="str">
        <x:v>Whole-campaign cost</x:v>
      </x:c>
      <x:c r="B14" s="66" t="n">
        <x:v>0.05</x:v>
      </x:c>
      <x:c r="C14" s="28" t="n">
        <x:v>3</x:v>
      </x:c>
      <x:c r="D14" s="28" t="n">
        <x:v>2</x:v>
      </x:c>
      <x:c r="E14" s="28" t="n">
        <x:v>3</x:v>
      </x:c>
      <x:c r="F14" s="28" t="n">
        <x:v>2</x:v>
      </x:c>
      <x:c r="G14" s="28" t="n">
        <x:v>4</x:v>
      </x:c>
      <x:c r="H14" s="28" t="n">
        <x:v>3</x:v>
      </x:c>
    </x:row>
    <x:row r="15">
      <x:c r="A15" s="50" t="str">
        <x:v>WEIGHTED SCORE</x:v>
      </x:c>
      <x:c r="B15" s="50" t="str"/>
      <x:c r="C15" s="61" t="n">
        <x:f>SUMPRODUCT($B$5:$B$14,C5:C14)</x:f>
        <x:v>3.0500000000000003</x:v>
      </x:c>
      <x:c r="D15" s="61" t="n">
        <x:f>SUMPRODUCT($B$5:$B$14,D5:D14)</x:f>
        <x:v>3.3500000000000005</x:v>
      </x:c>
      <x:c r="E15" s="61" t="n">
        <x:f>SUMPRODUCT($B$5:$B$14,E5:E14)</x:f>
        <x:v>3.0500000000000003</x:v>
      </x:c>
      <x:c r="F15" s="61" t="n">
        <x:f>SUMPRODUCT($B$5:$B$14,F5:F14)</x:f>
        <x:v>3.6</x:v>
      </x:c>
      <x:c r="G15" s="61" t="n">
        <x:f>SUMPRODUCT($B$5:$B$14,G5:G14)</x:f>
        <x:v>2.8500000000000005</x:v>
      </x:c>
      <x:c r="H15" s="61" t="n">
        <x:f>SUMPRODUCT($B$5:$B$14,H5:H14)</x:f>
        <x:v>3.9000000000000004</x:v>
      </x:c>
    </x:row>
    <x:row r="16">
      <x:c r="A16" s="50" t="str">
        <x:v>NORMALISED / 100</x:v>
      </x:c>
      <x:c r="B16" s="50" t="str"/>
      <x:c r="C16" s="61" t="n">
        <x:f>C15/5*100</x:f>
        <x:v>61.00000000000001</x:v>
      </x:c>
      <x:c r="D16" s="61" t="n">
        <x:f>D15/5*100</x:f>
        <x:v>67.00000000000001</x:v>
      </x:c>
      <x:c r="E16" s="61" t="n">
        <x:f>E15/5*100</x:f>
        <x:v>61.00000000000001</x:v>
      </x:c>
      <x:c r="F16" s="61" t="n">
        <x:f>F15/5*100</x:f>
        <x:v>72</x:v>
      </x:c>
      <x:c r="G16" s="61" t="n">
        <x:f>G15/5*100</x:f>
        <x:v>57.00000000000001</x:v>
      </x:c>
      <x:c r="H16" s="61" t="n">
        <x:f>H15/5*100</x:f>
        <x:v>78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d0a699d3d56e4212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6" hidden="0" customWidth="1"/>
    <x:col min="4" max="4" width="12" hidden="0" customWidth="1"/>
    <x:col min="5" max="5" width="10" hidden="0" customWidth="1"/>
    <x:col min="6" max="6" width="14" hidden="0" customWidth="1"/>
    <x:col min="7" max="7" width="24" hidden="0" customWidth="1"/>
    <x:col min="8" max="8" width="28" hidden="0" customWidth="1"/>
    <x:col min="9" max="9" width="20" hidden="0" customWidth="1"/>
    <x:col min="10" max="10" width="20" hidden="0" customWidth="1"/>
    <x:col min="11" max="11" width="24" hidden="0" customWidth="1"/>
    <x:col min="12" max="12" width="22" hidden="0" customWidth="1"/>
    <x:col min="13" max="13" width="24" hidden="0" customWidth="1"/>
    <x:col min="14" max="14" width="38" hidden="0" customWidth="1"/>
  </x:cols>
  <x:sheetData>
    <x:row r="1" ht="30" customHeight="1">
      <x:c r="A1" s="5" t="str">
        <x:v>Preferred Hybrid Method - Detailed Activity WBS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Typical-bent floating platform sequence plus fallback methods for non-typical families.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20" t="str">
        <x:v>WBS</x:v>
      </x:c>
      <x:c r="B4" s="20" t="str">
        <x:v>Phase</x:v>
      </x:c>
      <x:c r="C4" s="20" t="str">
        <x:v>Activity</x:v>
      </x:c>
      <x:c r="D4" s="20" t="str">
        <x:v>Predecessor</x:v>
      </x:c>
      <x:c r="E4" s="20" t="str">
        <x:v>Active h</x:v>
      </x:c>
      <x:c r="F4" s="20" t="str">
        <x:v>Set occupancy d</x:v>
      </x:c>
      <x:c r="G4" s="20" t="str">
        <x:v>Crew / role</x:v>
      </x:c>
      <x:c r="H4" s="20" t="str">
        <x:v>Primary equipment</x:v>
      </x:c>
      <x:c r="I4" s="20" t="str">
        <x:v>Cost treatment</x:v>
      </x:c>
      <x:c r="J4" s="20" t="str">
        <x:v>Evidence class</x:v>
      </x:c>
      <x:c r="K4" s="20" t="str">
        <x:v>Verification gate</x:v>
      </x:c>
      <x:c r="L4" s="20" t="str">
        <x:v>SIMOPS / hold</x:v>
      </x:c>
      <x:c r="M4" s="20" t="str">
        <x:v>Output</x:v>
      </x:c>
      <x:c r="N4" s="20" t="str">
        <x:v>Notes</x:v>
      </x:c>
    </x:row>
    <x:row r="5">
      <x:c r="A5" s="28" t="str">
        <x:v>1.0</x:v>
      </x:c>
      <x:c r="B5" s="28" t="str">
        <x:v>Engineering</x:v>
      </x:c>
      <x:c r="C5" s="28" t="str">
        <x:v>Current bent register and family mapping</x:v>
      </x:c>
      <x:c r="D5" s="28" t="str">
        <x:v>n/a</x:v>
      </x:c>
      <x:c r="E5" s="68" t="n">
        <x:v>40</x:v>
      </x:c>
      <x:c r="F5" s="68" t="n">
        <x:v>0</x:v>
      </x:c>
      <x:c r="G5" s="28" t="str">
        <x:v>Planner / engineer</x:v>
      </x:c>
      <x:c r="H5" s="28" t="str">
        <x:v>Drawings / register</x:v>
      </x:c>
      <x:c r="I5" s="28" t="str">
        <x:v>One-off</x:v>
      </x:c>
      <x:c r="J5" s="28" t="str">
        <x:v>Required input</x:v>
      </x:c>
      <x:c r="K5" s="28" t="str">
        <x:v>Accepted register</x:v>
      </x:c>
      <x:c r="L5" s="28" t="str">
        <x:v>n/a</x:v>
      </x:c>
      <x:c r="M5" s="28" t="str">
        <x:v>Method assignment</x:v>
      </x:c>
      <x:c r="N5" s="28" t="str">
        <x:v>Priority boundary</x:v>
      </x:c>
    </x:row>
    <x:row r="6">
      <x:c r="A6" s="28" t="str">
        <x:v>1.1</x:v>
      </x:c>
      <x:c r="B6" s="28" t="str">
        <x:v>Engineering</x:v>
      </x:c>
      <x:c r="C6" s="28" t="str">
        <x:v>Bathymetry and marine staging verification</x:v>
      </x:c>
      <x:c r="D6" s="28" t="str">
        <x:v>n/a</x:v>
      </x:c>
      <x:c r="E6" s="68" t="n">
        <x:v>40</x:v>
      </x:c>
      <x:c r="F6" s="68" t="n">
        <x:v>0</x:v>
      </x:c>
      <x:c r="G6" s="28" t="str">
        <x:v>Marine survey / engineer</x:v>
      </x:c>
      <x:c r="H6" s="28" t="str">
        <x:v>Survey vessel</x:v>
      </x:c>
      <x:c r="I6" s="28" t="str">
        <x:v>One-off</x:v>
      </x:c>
      <x:c r="J6" s="28" t="str">
        <x:v>Required input</x:v>
      </x:c>
      <x:c r="K6" s="28" t="str">
        <x:v>Accepted survey</x:v>
      </x:c>
      <x:c r="L6" s="28" t="str">
        <x:v>Marine operations</x:v>
      </x:c>
      <x:c r="M6" s="28" t="str">
        <x:v>Staging basis</x:v>
      </x:c>
      <x:c r="N6" s="28" t="str">
        <x:v>Not included in current pack</x:v>
      </x:c>
    </x:row>
    <x:row r="7">
      <x:c r="A7" s="28" t="str">
        <x:v>1.2</x:v>
      </x:c>
      <x:c r="B7" s="28" t="str">
        <x:v>Engineering</x:v>
      </x:c>
      <x:c r="C7" s="28" t="str">
        <x:v>Temporary works design: platforms, clamps, traversing decks</x:v>
      </x:c>
      <x:c r="D7" s="28" t="str">
        <x:v>1.0</x:v>
      </x:c>
      <x:c r="E7" s="68" t="n">
        <x:v>320</x:v>
      </x:c>
      <x:c r="F7" s="68" t="n">
        <x:v>0</x:v>
      </x:c>
      <x:c r="G7" s="28" t="str">
        <x:v>RPEQ / TW designer</x:v>
      </x:c>
      <x:c r="H7" s="28" t="str">
        <x:v>GGC platform data</x:v>
      </x:c>
      <x:c r="I7" s="28" t="str">
        <x:v>One-off</x:v>
      </x:c>
      <x:c r="J7" s="28" t="str">
        <x:v>Engineering design</x:v>
      </x:c>
      <x:c r="K7" s="28" t="str">
        <x:v>Independent check</x:v>
      </x:c>
      <x:c r="L7" s="28" t="str">
        <x:v>Design hold</x:v>
      </x:c>
      <x:c r="M7" s="28" t="str">
        <x:v>Certified-for-use package</x:v>
      </x:c>
      <x:c r="N7" s="28" t="str">
        <x:v>Bridge precedent is not Lucinda certification</x:v>
      </x:c>
    </x:row>
    <x:row r="8">
      <x:c r="A8" s="28" t="str">
        <x:v>1.3</x:v>
      </x:c>
      <x:c r="B8" s="28" t="str">
        <x:v>Engineering</x:v>
      </x:c>
      <x:c r="C8" s="28" t="str">
        <x:v>Containment design: pile half-shell and headstock module</x:v>
      </x:c>
      <x:c r="D8" s="28" t="str">
        <x:v>1.2</x:v>
      </x:c>
      <x:c r="E8" s="68" t="n">
        <x:v>240</x:v>
      </x:c>
      <x:c r="F8" s="68" t="n">
        <x:v>0</x:v>
      </x:c>
      <x:c r="G8" s="28" t="str">
        <x:v>Containment specialist</x:v>
      </x:c>
      <x:c r="H8" s="28" t="str">
        <x:v>Extraction / recovery plant</x:v>
      </x:c>
      <x:c r="I8" s="28" t="str">
        <x:v>One-off</x:v>
      </x:c>
      <x:c r="J8" s="28" t="str">
        <x:v>Supplier design</x:v>
      </x:c>
      <x:c r="K8" s="28" t="str">
        <x:v>Factory and field test</x:v>
      </x:c>
      <x:c r="L8" s="28" t="str">
        <x:v>Environmental hold</x:v>
      </x:c>
      <x:c r="M8" s="28" t="str">
        <x:v>Containment package</x:v>
      </x:c>
      <x:c r="N8" s="28" t="str">
        <x:v>Headstock arrangement remains open</x:v>
      </x:c>
    </x:row>
    <x:row r="9">
      <x:c r="A9" s="28" t="str">
        <x:v>1.4</x:v>
      </x:c>
      <x:c r="B9" s="28" t="str">
        <x:v>Engineering</x:v>
      </x:c>
      <x:c r="C9" s="28" t="str">
        <x:v>JUB / workboat / rescue spread selection</x:v>
      </x:c>
      <x:c r="D9" s="28" t="str">
        <x:v>1.1</x:v>
      </x:c>
      <x:c r="E9" s="68" t="n">
        <x:v>120</x:v>
      </x:c>
      <x:c r="F9" s="68" t="n">
        <x:v>0</x:v>
      </x:c>
      <x:c r="G9" s="28" t="str">
        <x:v>Marine engineer</x:v>
      </x:c>
      <x:c r="H9" s="28" t="str">
        <x:v>Candidate units</x:v>
      </x:c>
      <x:c r="I9" s="28" t="str">
        <x:v>One-off</x:v>
      </x:c>
      <x:c r="J9" s="28" t="str">
        <x:v>Supplier data</x:v>
      </x:c>
      <x:c r="K9" s="28" t="str">
        <x:v>Marine assurance</x:v>
      </x:c>
      <x:c r="L9" s="28" t="str">
        <x:v>Marine hold</x:v>
      </x:c>
      <x:c r="M9" s="28" t="str">
        <x:v>Selected spread</x:v>
      </x:c>
      <x:c r="N9" s="28" t="str">
        <x:v>Cyclone refuge required</x:v>
      </x:c>
    </x:row>
    <x:row r="10">
      <x:c r="A10" s="28" t="str">
        <x:v>2.0</x:v>
      </x:c>
      <x:c r="B10" s="28" t="str">
        <x:v>Mobilisation</x:v>
      </x:c>
      <x:c r="C10" s="28" t="str">
        <x:v>Fabricate / modify and assemble access sets</x:v>
      </x:c>
      <x:c r="D10" s="28" t="str">
        <x:v>1.2</x:v>
      </x:c>
      <x:c r="E10" s="68" t="n">
        <x:v>0</x:v>
      </x:c>
      <x:c r="F10" s="68" t="n">
        <x:v>0</x:v>
      </x:c>
      <x:c r="G10" s="28" t="str">
        <x:v>Fabricator / riggers</x:v>
      </x:c>
      <x:c r="H10" s="28" t="str">
        <x:v>Platforms, hoists, clamps</x:v>
      </x:c>
      <x:c r="I10" s="28" t="str">
        <x:v>One-off</x:v>
      </x:c>
      <x:c r="J10" s="28" t="str">
        <x:v>Supplier quote</x:v>
      </x:c>
      <x:c r="K10" s="28" t="str">
        <x:v>Inspection and load test</x:v>
      </x:c>
      <x:c r="L10" s="28" t="str">
        <x:v>n/a</x:v>
      </x:c>
      <x:c r="M10" s="28" t="str">
        <x:v>Complete sets</x:v>
      </x:c>
      <x:c r="N10" s="28" t="str">
        <x:v>Monetary GGC quote not found</x:v>
      </x:c>
    </x:row>
    <x:row r="11">
      <x:c r="A11" s="28" t="str">
        <x:v>2.1</x:v>
      </x:c>
      <x:c r="B11" s="28" t="str">
        <x:v>Mobilisation</x:v>
      </x:c>
      <x:c r="C11" s="28" t="str">
        <x:v>Factory acceptance and proof load</x:v>
      </x:c>
      <x:c r="D11" s="28" t="str">
        <x:v>2.0</x:v>
      </x:c>
      <x:c r="E11" s="68" t="n">
        <x:v>80</x:v>
      </x:c>
      <x:c r="F11" s="68" t="n">
        <x:v>0</x:v>
      </x:c>
      <x:c r="G11" s="28" t="str">
        <x:v>Riggers / inspector</x:v>
      </x:c>
      <x:c r="H11" s="28" t="str">
        <x:v>Test weights</x:v>
      </x:c>
      <x:c r="I11" s="28" t="str">
        <x:v>One-off</x:v>
      </x:c>
      <x:c r="J11" s="28" t="str">
        <x:v>Acceptance test</x:v>
      </x:c>
      <x:c r="K11" s="28" t="str">
        <x:v>Pass criteria</x:v>
      </x:c>
      <x:c r="L11" s="28" t="str">
        <x:v>Lift exclusion</x:v>
      </x:c>
      <x:c r="M11" s="28" t="str">
        <x:v>Released set</x:v>
      </x:c>
      <x:c r="N11" s="28" t="str">
        <x:v>Witness records</x:v>
      </x:c>
    </x:row>
    <x:row r="12">
      <x:c r="A12" s="28" t="str">
        <x:v>2.2</x:v>
      </x:c>
      <x:c r="B12" s="28" t="str">
        <x:v>Mobilisation</x:v>
      </x:c>
      <x:c r="C12" s="28" t="str">
        <x:v>Mobilise JUB, workboats, rescue, stores and waste system</x:v>
      </x:c>
      <x:c r="D12" s="28" t="str">
        <x:v>1.4</x:v>
      </x:c>
      <x:c r="E12" s="68" t="n">
        <x:v>0</x:v>
      </x:c>
      <x:c r="F12" s="68" t="n">
        <x:v>0</x:v>
      </x:c>
      <x:c r="G12" s="28" t="str">
        <x:v>Marine contractor</x:v>
      </x:c>
      <x:c r="H12" s="28" t="str">
        <x:v>JUB / vessels</x:v>
      </x:c>
      <x:c r="I12" s="28" t="str">
        <x:v>Mob/demob</x:v>
      </x:c>
      <x:c r="J12" s="28" t="str">
        <x:v>Supplier quote</x:v>
      </x:c>
      <x:c r="K12" s="28" t="str">
        <x:v>Marine readiness</x:v>
      </x:c>
      <x:c r="L12" s="28" t="str">
        <x:v>Port / weather</x:v>
      </x:c>
      <x:c r="M12" s="28" t="str">
        <x:v>Operational spread</x:v>
      </x:c>
      <x:c r="N12" s="28" t="str">
        <x:v>Rates TBC</x:v>
      </x:c>
    </x:row>
    <x:row r="13">
      <x:c r="A13" s="28" t="str">
        <x:v>3.0</x:v>
      </x:c>
      <x:c r="B13" s="28" t="str">
        <x:v>Advance front</x:v>
      </x:c>
      <x:c r="C13" s="28" t="str">
        <x:v>Install and proof-test sliding clamps one bent ahead</x:v>
      </x:c>
      <x:c r="D13" s="28" t="str">
        <x:v>2.1</x:v>
      </x:c>
      <x:c r="E13" s="68" t="n">
        <x:v>4</x:v>
      </x:c>
      <x:c r="F13" s="68" t="n">
        <x:v>0</x:v>
      </x:c>
      <x:c r="G13" s="28" t="str">
        <x:v>Rigging crew</x:v>
      </x:c>
      <x:c r="H13" s="28" t="str">
        <x:v>Workboat, clamp system</x:v>
      </x:c>
      <x:c r="I13" s="28" t="str">
        <x:v>Weekly / per bent</x:v>
      </x:c>
      <x:c r="J13" s="28" t="str">
        <x:v>Engineering allowance</x:v>
      </x:c>
      <x:c r="K13" s="28" t="str">
        <x:v>Proof test</x:v>
      </x:c>
      <x:c r="L13" s="28" t="str">
        <x:v>Dropped-object zone</x:v>
      </x:c>
      <x:c r="M13" s="28" t="str">
        <x:v>Bent ready</x:v>
      </x:c>
      <x:c r="N13" s="28" t="str">
        <x:v>Performed off production set</x:v>
      </x:c>
    </x:row>
    <x:row r="14">
      <x:c r="A14" s="28" t="str">
        <x:v>3.1</x:v>
      </x:c>
      <x:c r="B14" s="28" t="str">
        <x:v>Deployment</x:v>
      </x:c>
      <x:c r="C14" s="28" t="str">
        <x:v>Float platforms to bent and position</x:v>
      </x:c>
      <x:c r="D14" s="28" t="str">
        <x:v>3.0</x:v>
      </x:c>
      <x:c r="E14" s="68" t="n">
        <x:v>2</x:v>
      </x:c>
      <x:c r="F14" s="68" t="n">
        <x:v>0.2</x:v>
      </x:c>
      <x:c r="G14" s="28" t="str">
        <x:v>Boat crew / riggers</x:v>
      </x:c>
      <x:c r="H14" s="28" t="str">
        <x:v>Workboat, platforms</x:v>
      </x:c>
      <x:c r="I14" s="28" t="str">
        <x:v>Per bent</x:v>
      </x:c>
      <x:c r="J14" s="28" t="str">
        <x:v>Engineering allowance</x:v>
      </x:c>
      <x:c r="K14" s="28" t="str">
        <x:v>Sea-state limit</x:v>
      </x:c>
      <x:c r="L14" s="28" t="str">
        <x:v>Marine exclusion</x:v>
      </x:c>
      <x:c r="M14" s="28" t="str">
        <x:v>Platforms alongside</x:v>
      </x:c>
      <x:c r="N14" s="28" t="str">
        <x:v>No personnel on platform during move</x:v>
      </x:c>
    </x:row>
    <x:row r="15">
      <x:c r="A15" s="28" t="str">
        <x:v>3.2</x:v>
      </x:c>
      <x:c r="B15" s="28" t="str">
        <x:v>Deployment</x:v>
      </x:c>
      <x:c r="C15" s="28" t="str">
        <x:v>Connect, winch clear, restrain and commission</x:v>
      </x:c>
      <x:c r="D15" s="28" t="str">
        <x:v>3.1</x:v>
      </x:c>
      <x:c r="E15" s="68" t="n">
        <x:v>6</x:v>
      </x:c>
      <x:c r="F15" s="68" t="n">
        <x:v>0.6</x:v>
      </x:c>
      <x:c r="G15" s="28" t="str">
        <x:v>Riggers / operator</x:v>
      </x:c>
      <x:c r="H15" s="28" t="str">
        <x:v>Hoists, controls, restraints</x:v>
      </x:c>
      <x:c r="I15" s="28" t="str">
        <x:v>Per bent</x:v>
      </x:c>
      <x:c r="J15" s="28" t="str">
        <x:v>Engineering allowance</x:v>
      </x:c>
      <x:c r="K15" s="28" t="str">
        <x:v>Functional test</x:v>
      </x:c>
      <x:c r="L15" s="28" t="str">
        <x:v>Suspended-load hold</x:v>
      </x:c>
      <x:c r="M15" s="28" t="str">
        <x:v>Working access</x:v>
      </x:c>
      <x:c r="N15" s="28" t="str">
        <x:v>Emergency lowering tested</x:v>
      </x:c>
    </x:row>
    <x:row r="16">
      <x:c r="A16" s="28" t="str">
        <x:v>3.3</x:v>
      </x:c>
      <x:c r="B16" s="28" t="str">
        <x:v>Deployment</x:v>
      </x:c>
      <x:c r="C16" s="28" t="str">
        <x:v>Install access tower, traversing decks and services</x:v>
      </x:c>
      <x:c r="D16" s="28" t="str">
        <x:v>3.2</x:v>
      </x:c>
      <x:c r="E16" s="68" t="n">
        <x:v>3</x:v>
      </x:c>
      <x:c r="F16" s="68" t="n">
        <x:v>0.3</x:v>
      </x:c>
      <x:c r="G16" s="28" t="str">
        <x:v>Riggers / scaffolders</x:v>
      </x:c>
      <x:c r="H16" s="28" t="str">
        <x:v>Tower, decks, hoses</x:v>
      </x:c>
      <x:c r="I16" s="28" t="str">
        <x:v>Per bent</x:v>
      </x:c>
      <x:c r="J16" s="28" t="str">
        <x:v>Engineering allowance</x:v>
      </x:c>
      <x:c r="K16" s="28" t="str">
        <x:v>Access inspection</x:v>
      </x:c>
      <x:c r="L16" s="28" t="str">
        <x:v>SIMOPS hold</x:v>
      </x:c>
      <x:c r="M16" s="28" t="str">
        <x:v>Bent commissioned</x:v>
      </x:c>
      <x:c r="N16" s="28" t="str">
        <x:v>Stretcher path verified</x:v>
      </x:c>
    </x:row>
    <x:row r="17">
      <x:c r="A17" s="28" t="str">
        <x:v>4.0</x:v>
      </x:c>
      <x:c r="B17" s="28" t="str">
        <x:v>Diagnosis</x:v>
      </x:c>
      <x:c r="C17" s="28" t="str">
        <x:v>Remove existing wrap / marine growth and wash</x:v>
      </x:c>
      <x:c r="D17" s="28" t="str">
        <x:v>3.3</x:v>
      </x:c>
      <x:c r="E17" s="68" t="n">
        <x:v>5</x:v>
      </x:c>
      <x:c r="F17" s="68" t="n">
        <x:v>0.5</x:v>
      </x:c>
      <x:c r="G17" s="28" t="str">
        <x:v>Prep crew</x:v>
      </x:c>
      <x:c r="H17" s="28" t="str">
        <x:v>HP water, scrapers</x:v>
      </x:c>
      <x:c r="I17" s="28" t="str">
        <x:v>Common trade</x:v>
      </x:c>
      <x:c r="J17" s="28" t="str">
        <x:v>Contract scope</x:v>
      </x:c>
      <x:c r="K17" s="28" t="str">
        <x:v>Cleanliness check</x:v>
      </x:c>
      <x:c r="L17" s="28" t="str">
        <x:v>Containment controls</x:v>
      </x:c>
      <x:c r="M17" s="28" t="str">
        <x:v>Exposed surfaces</x:v>
      </x:c>
      <x:c r="N17" s="28" t="str">
        <x:v>Waste captured</x:v>
      </x:c>
    </x:row>
    <x:row r="18">
      <x:c r="A18" s="28" t="str">
        <x:v>4.1</x:v>
      </x:c>
      <x:c r="B18" s="28" t="str">
        <x:v>Diagnosis</x:v>
      </x:c>
      <x:c r="C18" s="28" t="str">
        <x:v>Initial visual inspection and UT</x:v>
      </x:c>
      <x:c r="D18" s="28" t="str">
        <x:v>4.0</x:v>
      </x:c>
      <x:c r="E18" s="68" t="n">
        <x:v>5</x:v>
      </x:c>
      <x:c r="F18" s="68" t="n">
        <x:v>0.5</x:v>
      </x:c>
      <x:c r="G18" s="28" t="str">
        <x:v>Inspector / NDT</x:v>
      </x:c>
      <x:c r="H18" s="28" t="str">
        <x:v>UT equipment</x:v>
      </x:c>
      <x:c r="I18" s="28" t="str">
        <x:v>Common trade</x:v>
      </x:c>
      <x:c r="J18" s="28" t="str">
        <x:v>Contract rate proxy</x:v>
      </x:c>
      <x:c r="K18" s="28" t="str">
        <x:v>Inspection record</x:v>
      </x:c>
      <x:c r="L18" s="28" t="str">
        <x:v>QA hold</x:v>
      </x:c>
      <x:c r="M18" s="28" t="str">
        <x:v>Initial condition</x:v>
      </x:c>
      <x:c r="N18" s="28" t="str">
        <x:v>Advance screening may reduce time</x:v>
      </x:c>
    </x:row>
    <x:row r="19">
      <x:c r="A19" s="28" t="str">
        <x:v>4.2</x:v>
      </x:c>
      <x:c r="B19" s="28" t="str">
        <x:v>Diagnosis</x:v>
      </x:c>
      <x:c r="C19" s="28" t="str">
        <x:v>Local diagnostic blast both piles and headstock zones</x:v>
      </x:c>
      <x:c r="D19" s="28" t="str">
        <x:v>4.1</x:v>
      </x:c>
      <x:c r="E19" s="68" t="n">
        <x:v>8</x:v>
      </x:c>
      <x:c r="F19" s="68" t="n">
        <x:v>0.8</x:v>
      </x:c>
      <x:c r="G19" s="28" t="str">
        <x:v>Blaster crew</x:v>
      </x:c>
      <x:c r="H19" s="28" t="str">
        <x:v>Half-shell / headstock enclosure</x:v>
      </x:c>
      <x:c r="I19" s="28" t="str">
        <x:v>Access/method</x:v>
      </x:c>
      <x:c r="J19" s="28" t="str">
        <x:v>Engineering allowance</x:v>
      </x:c>
      <x:c r="K19" s="28" t="str">
        <x:v>Containment performance</x:v>
      </x:c>
      <x:c r="L19" s="28" t="str">
        <x:v>No hot work</x:v>
      </x:c>
      <x:c r="M19" s="28" t="str">
        <x:v>Bare steel for mark-up</x:v>
      </x:c>
      <x:c r="N19" s="28" t="str">
        <x:v>Not final coating blast</x:v>
      </x:c>
    </x:row>
    <x:row r="20">
      <x:c r="A20" s="28" t="str">
        <x:v>4.3</x:v>
      </x:c>
      <x:c r="B20" s="28" t="str">
        <x:v>Diagnosis</x:v>
      </x:c>
      <x:c r="C20" s="28" t="str">
        <x:v>Detailed mark-up and one bent-level repair package</x:v>
      </x:c>
      <x:c r="D20" s="28" t="str">
        <x:v>4.2</x:v>
      </x:c>
      <x:c r="E20" s="68" t="n">
        <x:v>5</x:v>
      </x:c>
      <x:c r="F20" s="68" t="n">
        <x:v>0.5</x:v>
      </x:c>
      <x:c r="G20" s="28" t="str">
        <x:v>Engineer / inspector</x:v>
      </x:c>
      <x:c r="H20" s="28" t="str">
        <x:v>Tablet / repair library</x:v>
      </x:c>
      <x:c r="I20" s="28" t="str">
        <x:v>Engineering / trade</x:v>
      </x:c>
      <x:c r="J20" s="28" t="str">
        <x:v>Project assumption</x:v>
      </x:c>
      <x:c r="K20" s="28" t="str">
        <x:v>Complete package</x:v>
      </x:c>
      <x:c r="L20" s="28" t="str">
        <x:v>Design hold</x:v>
      </x:c>
      <x:c r="M20" s="28" t="str">
        <x:v>Approved repair scope</x:v>
      </x:c>
      <x:c r="N20" s="28" t="str">
        <x:v>One hold only if both piles/headstock exposed first</x:v>
      </x:c>
    </x:row>
    <x:row r="21">
      <x:c r="A21" s="28" t="str">
        <x:v>4.4</x:v>
      </x:c>
      <x:c r="B21" s="28" t="str">
        <x:v>Approval</x:v>
      </x:c>
      <x:c r="C21" s="28" t="str">
        <x:v>Reviewing engineer approval hold</x:v>
      </x:c>
      <x:c r="D21" s="28" t="str">
        <x:v>4.3</x:v>
      </x:c>
      <x:c r="E21" s="68" t="n">
        <x:v>0</x:v>
      </x:c>
      <x:c r="F21" s="68" t="n">
        <x:v>3</x:v>
      </x:c>
      <x:c r="G21" s="28" t="str">
        <x:v>Reviewing engineer</x:v>
      </x:c>
      <x:c r="H21" s="28" t="str">
        <x:v>Repair package</x:v>
      </x:c>
      <x:c r="I21" s="28" t="str">
        <x:v>Set occupancy</x:v>
      </x:c>
      <x:c r="J21" s="28" t="str">
        <x:v>Current programme</x:v>
      </x:c>
      <x:c r="K21" s="28" t="str">
        <x:v>Approval issued</x:v>
      </x:c>
      <x:c r="L21" s="28" t="str">
        <x:v>No repair work</x:v>
      </x:c>
      <x:c r="M21" s="28" t="str">
        <x:v>Approved package</x:v>
      </x:c>
      <x:c r="N21" s="28" t="str">
        <x:v>Library may reduce routine hold</x:v>
      </x:c>
    </x:row>
    <x:row r="22">
      <x:c r="A22" s="28" t="str">
        <x:v>5.0</x:v>
      </x:c>
      <x:c r="B22" s="28" t="str">
        <x:v>Repair</x:v>
      </x:c>
      <x:c r="C22" s="28" t="str">
        <x:v>Pile 1 fit-up, weld and NDT</x:v>
      </x:c>
      <x:c r="D22" s="28" t="str">
        <x:v>4.4</x:v>
      </x:c>
      <x:c r="E22" s="68" t="n">
        <x:v>22</x:v>
      </x:c>
      <x:c r="F22" s="68" t="n">
        <x:v>2.2</x:v>
      </x:c>
      <x:c r="G22" s="28" t="str">
        <x:v>Weld crews / NDT</x:v>
      </x:c>
      <x:c r="H22" s="28" t="str">
        <x:v>Welding sets, extraction</x:v>
      </x:c>
      <x:c r="I22" s="28" t="str">
        <x:v>Common trade</x:v>
      </x:c>
      <x:c r="J22" s="28" t="str">
        <x:v>Claim proxy</x:v>
      </x:c>
      <x:c r="K22" s="28" t="str">
        <x:v>NDT acceptance</x:v>
      </x:c>
      <x:c r="L22" s="28" t="str">
        <x:v>Hot work exclusion</x:v>
      </x:c>
      <x:c r="M22" s="28" t="str">
        <x:v>Pile 1 accepted</x:v>
      </x:c>
      <x:c r="N22" s="28" t="str">
        <x:v>Crew count/rate trial</x:v>
      </x:c>
    </x:row>
    <x:row r="23">
      <x:c r="A23" s="28" t="str">
        <x:v>5.1</x:v>
      </x:c>
      <x:c r="B23" s="28" t="str">
        <x:v>Finish</x:v>
      </x:c>
      <x:c r="C23" s="28" t="str">
        <x:v>Pile 1 final preparation and coat 1 / stripe</x:v>
      </x:c>
      <x:c r="D23" s="28" t="str">
        <x:v>5.0</x:v>
      </x:c>
      <x:c r="E23" s="68" t="n">
        <x:v>8</x:v>
      </x:c>
      <x:c r="F23" s="68" t="n">
        <x:v>0.8</x:v>
      </x:c>
      <x:c r="G23" s="28" t="str">
        <x:v>Blaster / painter</x:v>
      </x:c>
      <x:c r="H23" s="28" t="str">
        <x:v>Half-shell, extraction</x:v>
      </x:c>
      <x:c r="I23" s="28" t="str">
        <x:v>Common trade</x:v>
      </x:c>
      <x:c r="J23" s="28" t="str">
        <x:v>G01</x:v>
      </x:c>
      <x:c r="K23" s="28" t="str">
        <x:v>Surface QA</x:v>
      </x:c>
      <x:c r="L23" s="28" t="str">
        <x:v>No adjacent hot work</x:v>
      </x:c>
      <x:c r="M23" s="28" t="str">
        <x:v>Pile 1 coat 1</x:v>
      </x:c>
      <x:c r="N23" s="28" t="str">
        <x:v>Final blast within work lot</x:v>
      </x:c>
    </x:row>
    <x:row r="24">
      <x:c r="A24" s="28" t="str">
        <x:v>5.2</x:v>
      </x:c>
      <x:c r="B24" s="28" t="str">
        <x:v>Finish</x:v>
      </x:c>
      <x:c r="C24" s="28" t="str">
        <x:v>Pile 1 wash, dry and minimum recoat hold</x:v>
      </x:c>
      <x:c r="D24" s="28" t="str">
        <x:v>5.1</x:v>
      </x:c>
      <x:c r="E24" s="68" t="n">
        <x:v>2</x:v>
      </x:c>
      <x:c r="F24" s="68" t="n">
        <x:v>0.7</x:v>
      </x:c>
      <x:c r="G24" s="28" t="str">
        <x:v>Painter / QA</x:v>
      </x:c>
      <x:c r="H24" s="28" t="str">
        <x:v>Potable water / climate monitoring</x:v>
      </x:c>
      <x:c r="I24" s="28" t="str">
        <x:v>Set occupancy</x:v>
      </x:c>
      <x:c r="J24" s="28" t="str">
        <x:v>G01</x:v>
      </x:c>
      <x:c r="K24" s="28" t="str">
        <x:v>Recoat condition</x:v>
      </x:c>
      <x:c r="L24" s="28" t="str">
        <x:v>Coating hold</x:v>
      </x:c>
      <x:c r="M24" s="28" t="str">
        <x:v>Pile 1 ready coat 2</x:v>
      </x:c>
      <x:c r="N24" s="28" t="str">
        <x:v>14 h minimum not compressible</x:v>
      </x:c>
    </x:row>
    <x:row r="25">
      <x:c r="A25" s="28" t="str">
        <x:v>5.3</x:v>
      </x:c>
      <x:c r="B25" s="28" t="str">
        <x:v>Finish</x:v>
      </x:c>
      <x:c r="C25" s="28" t="str">
        <x:v>Pile 1 coat 2 / DFT / jacket above LAT</x:v>
      </x:c>
      <x:c r="D25" s="28" t="str">
        <x:v>5.2</x:v>
      </x:c>
      <x:c r="E25" s="68" t="n">
        <x:v>8</x:v>
      </x:c>
      <x:c r="F25" s="68" t="n">
        <x:v>0.8</x:v>
      </x:c>
      <x:c r="G25" s="28" t="str">
        <x:v>Painter / jacket crew</x:v>
      </x:c>
      <x:c r="H25" s="28" t="str">
        <x:v>Half-shell / traversing deck</x:v>
      </x:c>
      <x:c r="I25" s="28" t="str">
        <x:v>Common trade</x:v>
      </x:c>
      <x:c r="J25" s="28" t="str">
        <x:v>Contract rate proxy</x:v>
      </x:c>
      <x:c r="K25" s="28" t="str">
        <x:v>DFT / jacket QA</x:v>
      </x:c>
      <x:c r="L25" s="28" t="str">
        <x:v>Coating exclusion</x:v>
      </x:c>
      <x:c r="M25" s="28" t="str">
        <x:v>Pile 1 closed</x:v>
      </x:c>
      <x:c r="N25" s="28" t="str">
        <x:v>Below-LAT part separate</x:v>
      </x:c>
    </x:row>
    <x:row r="26">
      <x:c r="A26" s="28" t="str">
        <x:v>5.4</x:v>
      </x:c>
      <x:c r="B26" s="28" t="str">
        <x:v>Finish</x:v>
      </x:c>
      <x:c r="C26" s="28" t="str">
        <x:v>Pile 1 jacket below LAT</x:v>
      </x:c>
      <x:c r="D26" s="28" t="str">
        <x:v>5.3</x:v>
      </x:c>
      <x:c r="E26" s="68" t="n">
        <x:v>4</x:v>
      </x:c>
      <x:c r="F26" s="68" t="n">
        <x:v>0.5</x:v>
      </x:c>
      <x:c r="G26" s="28" t="str">
        <x:v>Marine jacket crew</x:v>
      </x:c>
      <x:c r="H26" s="28" t="str">
        <x:v>TBC method</x:v>
      </x:c>
      <x:c r="I26" s="28" t="str">
        <x:v>Per bent</x:v>
      </x:c>
      <x:c r="J26" s="28" t="str">
        <x:v>Open</x:v>
      </x:c>
      <x:c r="K26" s="28" t="str">
        <x:v>Manufacturer method</x:v>
      </x:c>
      <x:c r="L26" s="28" t="str">
        <x:v>Tide / marine hold</x:v>
      </x:c>
      <x:c r="M26" s="28" t="str">
        <x:v>Pile 1 complete</x:v>
      </x:c>
      <x:c r="N26" s="28" t="str">
        <x:v>Method not established</x:v>
      </x:c>
    </x:row>
    <x:row r="27">
      <x:c r="A27" s="28" t="str">
        <x:v>6.0</x:v>
      </x:c>
      <x:c r="B27" s="28" t="str">
        <x:v>Repair</x:v>
      </x:c>
      <x:c r="C27" s="28" t="str">
        <x:v>Repeat repair and finish sequence for pile 2</x:v>
      </x:c>
      <x:c r="D27" s="28" t="str">
        <x:v>5.4</x:v>
      </x:c>
      <x:c r="E27" s="68" t="n">
        <x:v>44</x:v>
      </x:c>
      <x:c r="F27" s="68" t="n">
        <x:v>4.4</x:v>
      </x:c>
      <x:c r="G27" s="28" t="str">
        <x:v>Weld / coat / jacket crews</x:v>
      </x:c>
      <x:c r="H27" s="28" t="str">
        <x:v>Same access set</x:v>
      </x:c>
      <x:c r="I27" s="28" t="str">
        <x:v>Common trade</x:v>
      </x:c>
      <x:c r="J27" s="28" t="str">
        <x:v>Derived from pile 1</x:v>
      </x:c>
      <x:c r="K27" s="28" t="str">
        <x:v>QA accepted</x:v>
      </x:c>
      <x:c r="L27" s="28" t="str">
        <x:v>Protect pile 1</x:v>
      </x:c>
      <x:c r="M27" s="28" t="str">
        <x:v>Pile 2 complete</x:v>
      </x:c>
      <x:c r="N27" s="28" t="str">
        <x:v>Completed pile protected/reinspected</x:v>
      </x:c>
    </x:row>
    <x:row r="28">
      <x:c r="A28" s="28" t="str">
        <x:v>7.0</x:v>
      </x:c>
      <x:c r="B28" s="28" t="str">
        <x:v>Headstock</x:v>
      </x:c>
      <x:c r="C28" s="28" t="str">
        <x:v>Headstock repair, final blast, coat and QA</x:v>
      </x:c>
      <x:c r="D28" s="28" t="str">
        <x:v>6.0</x:v>
      </x:c>
      <x:c r="E28" s="68" t="n">
        <x:v>30</x:v>
      </x:c>
      <x:c r="F28" s="68" t="n">
        <x:v>3</x:v>
      </x:c>
      <x:c r="G28" s="28" t="str">
        <x:v>Weld / blast / paint crews</x:v>
      </x:c>
      <x:c r="H28" s="28" t="str">
        <x:v>Headstock enclosure</x:v>
      </x:c>
      <x:c r="I28" s="28" t="str">
        <x:v>Common trade + access</x:v>
      </x:c>
      <x:c r="J28" s="28" t="str">
        <x:v>Open method</x:v>
      </x:c>
      <x:c r="K28" s="28" t="str">
        <x:v>Containment trial</x:v>
      </x:c>
      <x:c r="L28" s="28" t="str">
        <x:v>No conflicting hot work</x:v>
      </x:c>
      <x:c r="M28" s="28" t="str">
        <x:v>Headstock complete</x:v>
      </x:c>
      <x:c r="N28" s="28" t="str">
        <x:v>Cycle to be measured</x:v>
      </x:c>
    </x:row>
    <x:row r="29">
      <x:c r="A29" s="28" t="str">
        <x:v>8.0</x:v>
      </x:c>
      <x:c r="B29" s="28" t="str">
        <x:v>Closeout</x:v>
      </x:c>
      <x:c r="C29" s="28" t="str">
        <x:v>Containment clean-out, touch-up, records and release</x:v>
      </x:c>
      <x:c r="D29" s="28" t="str">
        <x:v>7.0</x:v>
      </x:c>
      <x:c r="E29" s="68" t="n">
        <x:v>8</x:v>
      </x:c>
      <x:c r="F29" s="68" t="n">
        <x:v>0.8</x:v>
      </x:c>
      <x:c r="G29" s="28" t="str">
        <x:v>QA / crew</x:v>
      </x:c>
      <x:c r="H29" s="28" t="str">
        <x:v>Vacuum, waste drums</x:v>
      </x:c>
      <x:c r="I29" s="28" t="str">
        <x:v>Per bent</x:v>
      </x:c>
      <x:c r="J29" s="28" t="str">
        <x:v>Engineering allowance</x:v>
      </x:c>
      <x:c r="K29" s="28" t="str">
        <x:v>QA dossier</x:v>
      </x:c>
      <x:c r="L29" s="28" t="str">
        <x:v>Release hold</x:v>
      </x:c>
      <x:c r="M29" s="28" t="str">
        <x:v>QA-closed bent</x:v>
      </x:c>
      <x:c r="N29" s="28" t="str">
        <x:v>Completion definition</x:v>
      </x:c>
    </x:row>
    <x:row r="30">
      <x:c r="A30" s="28" t="str">
        <x:v>8.1</x:v>
      </x:c>
      <x:c r="B30" s="28" t="str">
        <x:v>Relocation</x:v>
      </x:c>
      <x:c r="C30" s="28" t="str">
        <x:v>Lower, disconnect, float to next bent and recommission</x:v>
      </x:c>
      <x:c r="D30" s="28" t="str">
        <x:v>8.0</x:v>
      </x:c>
      <x:c r="E30" s="68" t="n">
        <x:v>11</x:v>
      </x:c>
      <x:c r="F30" s="68" t="n">
        <x:v>1.1</x:v>
      </x:c>
      <x:c r="G30" s="28" t="str">
        <x:v>Riggers / boat crew</x:v>
      </x:c>
      <x:c r="H30" s="28" t="str">
        <x:v>Workboat / hoists</x:v>
      </x:c>
      <x:c r="I30" s="28" t="str">
        <x:v>Per bent</x:v>
      </x:c>
      <x:c r="J30" s="28" t="str">
        <x:v>Working allowance</x:v>
      </x:c>
      <x:c r="K30" s="28" t="str">
        <x:v>Timed trial</x:v>
      </x:c>
      <x:c r="L30" s="28" t="str">
        <x:v>Marine move</x:v>
      </x:c>
      <x:c r="M30" s="28" t="str">
        <x:v>Set on next bent</x:v>
      </x:c>
      <x:c r="N30" s="28" t="str">
        <x:v>Current model allowance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28" hidden="0" customWidth="1"/>
    <x:col min="7" max="7" width="14" hidden="0" customWidth="1"/>
    <x:col min="8" max="8" width="14" hidden="0" customWidth="1"/>
    <x:col min="9" max="9" width="25" hidden="0" customWidth="1"/>
    <x:col min="10" max="10" width="38" hidden="0" customWidth="1"/>
    <x:col min="11" max="11" width="20" hidden="0" customWidth="1"/>
  </x:cols>
  <x:sheetData>
    <x:row r="1" ht="30" customHeight="1">
      <x:c r="A1" s="5" t="str">
        <x:v>Typical-Bent Access-Set Occupancy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Complete planning cycle. Base values are engineering allowances until measured during proving.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Activity</x:v>
      </x:c>
      <x:c r="B4" s="20" t="str">
        <x:v>Low d</x:v>
      </x:c>
      <x:c r="C4" s="20" t="str">
        <x:v>Base d</x:v>
      </x:c>
      <x:c r="D4" s="20" t="str">
        <x:v>High d</x:v>
      </x:c>
      <x:c r="E4" s="20" t="str">
        <x:v>Included in base?</x:v>
      </x:c>
      <x:c r="F4" s="20" t="str">
        <x:v>Basis</x:v>
      </x:c>
      <x:c r="G4" s="20" t="str">
        <x:v>Confidence</x:v>
      </x:c>
      <x:c r="H4" s="20" t="str">
        <x:v>Can overlap?</x:v>
      </x:c>
      <x:c r="I4" s="20" t="str">
        <x:v>Critical gate</x:v>
      </x:c>
      <x:c r="J4" s="20" t="str">
        <x:v>Source / note</x:v>
      </x:c>
      <x:c r="K4" s="20" t="str">
        <x:v>Owner</x:v>
      </x:c>
      <x:c r="M4" s="20" t="str">
        <x:v>Cycle result</x:v>
      </x:c>
      <x:c r="N4" s="20" t="str">
        <x:v>Low</x:v>
      </x:c>
      <x:c r="O4" s="20" t="str">
        <x:v>Base</x:v>
      </x:c>
      <x:c r="P4" s="20" t="str">
        <x:v>High</x:v>
      </x:c>
      <x:c r="Q4" s="20" t="str">
        <x:v>Comment</x:v>
      </x:c>
    </x:row>
    <x:row r="5">
      <x:c r="A5" s="28" t="str">
        <x:v>Relocate / recommission set</x:v>
      </x:c>
      <x:c r="B5" s="44" t="n">
        <x:v>0.8</x:v>
      </x:c>
      <x:c r="C5" s="44" t="n">
        <x:v>1.1</x:v>
      </x:c>
      <x:c r="D5" s="44" t="n">
        <x:v>1.8</x:v>
      </x:c>
      <x:c r="E5" s="28" t="str">
        <x:v>Yes</x:v>
      </x:c>
      <x:c r="F5" s="28" t="str">
        <x:v>Working allowance</x:v>
      </x:c>
      <x:c r="G5" s="28" t="str">
        <x:v>Low</x:v>
      </x:c>
      <x:c r="H5" s="28" t="str">
        <x:v>No</x:v>
      </x:c>
      <x:c r="I5" s="28" t="str">
        <x:v>Timed trial</x:v>
      </x:c>
      <x:c r="J5" s="28" t="str">
        <x:v>11 h current allowance</x:v>
      </x:c>
      <x:c r="K5" s="28" t="str">
        <x:v>Marine contractor</x:v>
      </x:c>
      <x:c r="M5" s="28" t="str">
        <x:v>Cycle days</x:v>
      </x:c>
      <x:c r="N5" s="44" t="n">
        <x:f>B19</x:f>
        <x:v>10.142500000000002</x:v>
      </x:c>
      <x:c r="O5" s="44" t="n">
        <x:f>C19</x:f>
        <x:v>19.580000000000002</x:v>
      </x:c>
      <x:c r="P5" s="44" t="n">
        <x:f>D19</x:f>
        <x:v>39.14</x:v>
      </x:c>
      <x:c r="Q5" s="28" t="str">
        <x:v>Access-set occupancy</x:v>
      </x:c>
    </x:row>
    <x:row r="6">
      <x:c r="A6" s="28" t="str">
        <x:v>Remove wrap / wash / initial UT</x:v>
      </x:c>
      <x:c r="B6" s="44" t="n">
        <x:v>0.8</x:v>
      </x:c>
      <x:c r="C6" s="44" t="n">
        <x:v>1</x:v>
      </x:c>
      <x:c r="D6" s="44" t="n">
        <x:v>1.5</x:v>
      </x:c>
      <x:c r="E6" s="28" t="str">
        <x:v>Yes</x:v>
      </x:c>
      <x:c r="F6" s="28" t="str">
        <x:v>Current programme / scope</x:v>
      </x:c>
      <x:c r="G6" s="28" t="str">
        <x:v>Medium</x:v>
      </x:c>
      <x:c r="H6" s="28" t="str">
        <x:v>No</x:v>
      </x:c>
      <x:c r="I6" s="28" t="str">
        <x:v>Site trial</x:v>
      </x:c>
      <x:c r="J6" s="28" t="str">
        <x:v>Contract scope</x:v>
      </x:c>
      <x:c r="K6" s="28" t="str">
        <x:v>Delivery contractor</x:v>
      </x:c>
      <x:c r="M6" s="28" t="str">
        <x:v>Rate per set / week</x:v>
      </x:c>
      <x:c r="N6" s="44" t="n">
        <x:f>'03 Assumptions'!C9/B19*'03 Assumptions'!C11</x:f>
        <x:v>0.5028346068523539</x:v>
      </x:c>
      <x:c r="O6" s="44" t="n">
        <x:f>'03 Assumptions'!C9/C19*'03 Assumptions'!C11</x:f>
        <x:v>0.2604698672114402</x:v>
      </x:c>
      <x:c r="P6" s="44" t="n">
        <x:f>'03 Assumptions'!C9/D19*'03 Assumptions'!C11</x:f>
        <x:v>0.13030148185998977</x:v>
      </x:c>
      <x:c r="Q6" s="28" t="str">
        <x:v>6 days/week x availability / cycle</x:v>
      </x:c>
    </x:row>
    <x:row r="7">
      <x:c r="A7" s="28" t="str">
        <x:v>Diagnostic blast and mark-up</x:v>
      </x:c>
      <x:c r="B7" s="44" t="n">
        <x:v>1</x:v>
      </x:c>
      <x:c r="C7" s="44" t="n">
        <x:v>1.5</x:v>
      </x:c>
      <x:c r="D7" s="44" t="n">
        <x:v>2.2</x:v>
      </x:c>
      <x:c r="E7" s="28" t="str">
        <x:v>Yes</x:v>
      </x:c>
      <x:c r="F7" s="28" t="str">
        <x:v>Engineering allowance</x:v>
      </x:c>
      <x:c r="G7" s="28" t="str">
        <x:v>Low</x:v>
      </x:c>
      <x:c r="H7" s="28" t="str">
        <x:v>No</x:v>
      </x:c>
      <x:c r="I7" s="28" t="str">
        <x:v>Containment trial</x:v>
      </x:c>
      <x:c r="J7" s="28" t="str">
        <x:v>Approx. 27-29 m2 pile bands plus local headstock diagnosis</x:v>
      </x:c>
      <x:c r="K7" s="28" t="str">
        <x:v>Delivery contractor</x:v>
      </x:c>
      <x:c r="M7" s="28" t="str">
        <x:v>Sets for stress-case rate</x:v>
      </x:c>
      <x:c r="N7" s="70" t="n">
        <x:f>ROUNDUP('03 Assumptions'!C20/N6,0)</x:f>
        <x:v>8</x:v>
      </x:c>
      <x:c r="O7" s="70" t="n">
        <x:f>ROUNDUP('03 Assumptions'!C20/O6,0)</x:f>
        <x:v>15</x:v>
      </x:c>
      <x:c r="P7" s="70" t="n">
        <x:f>ROUNDUP('03 Assumptions'!C20/P6,0)</x:f>
        <x:v>30</x:v>
      </x:c>
      <x:c r="Q7" s="28" t="str">
        <x:v>Diagnostic only</x:v>
      </x:c>
    </x:row>
    <x:row r="8">
      <x:c r="A8" s="28" t="str">
        <x:v>Repair package preparation</x:v>
      </x:c>
      <x:c r="B8" s="44" t="n">
        <x:v>0.3</x:v>
      </x:c>
      <x:c r="C8" s="44" t="n">
        <x:v>0.5</x:v>
      </x:c>
      <x:c r="D8" s="44" t="n">
        <x:v>0.8</x:v>
      </x:c>
      <x:c r="E8" s="28" t="str">
        <x:v>Yes</x:v>
      </x:c>
      <x:c r="F8" s="28" t="str">
        <x:v>Engineering allowance</x:v>
      </x:c>
      <x:c r="G8" s="28" t="str">
        <x:v>Low</x:v>
      </x:c>
      <x:c r="H8" s="28" t="str">
        <x:v>No</x:v>
      </x:c>
      <x:c r="I8" s="28" t="str">
        <x:v>Repair-library workflow</x:v>
      </x:c>
      <x:c r="J8" s="28" t="str">
        <x:v>Complete bent-level package</x:v>
      </x:c>
      <x:c r="K8" s="28" t="str">
        <x:v>Engineer</x:v>
      </x:c>
    </x:row>
    <x:row r="9">
      <x:c r="A9" s="28" t="str">
        <x:v>Routine repair approval hold</x:v>
      </x:c>
      <x:c r="B9" s="44" t="n">
        <x:v>0</x:v>
      </x:c>
      <x:c r="C9" s="44" t="n">
        <x:v>3</x:v>
      </x:c>
      <x:c r="D9" s="44" t="n">
        <x:v>5</x:v>
      </x:c>
      <x:c r="E9" s="28" t="str">
        <x:v>Yes</x:v>
      </x:c>
      <x:c r="F9" s="28" t="str">
        <x:v>Current programme</x:v>
      </x:c>
      <x:c r="G9" s="28" t="str">
        <x:v>Medium</x:v>
      </x:c>
      <x:c r="H9" s="28" t="str">
        <x:v>No</x:v>
      </x:c>
      <x:c r="I9" s="28" t="str">
        <x:v>Reviewing engineer agreement</x:v>
      </x:c>
      <x:c r="J9" s="28" t="str">
        <x:v>May reduce with pre-approved library</x:v>
      </x:c>
      <x:c r="K9" s="28" t="str">
        <x:v>Reviewing engineer</x:v>
      </x:c>
    </x:row>
    <x:row r="10">
      <x:c r="A10" s="28" t="str">
        <x:v>Welding and NDT</x:v>
      </x:c>
      <x:c r="B10" s="44" t="n">
        <x:f>'03 Assumptions'!C13/(4*8)</x:f>
        <x:v>1.6425</x:v>
      </x:c>
      <x:c r="C10" s="44" t="n">
        <x:f>'03 Assumptions'!C13/('03 Assumptions'!C14*'03 Assumptions'!C15)</x:f>
        <x:v>4.38</x:v>
      </x:c>
      <x:c r="D10" s="44" t="n">
        <x:f>'03 Assumptions'!C13/(1*4)</x:f>
        <x:v>13.14</x:v>
      </x:c>
      <x:c r="E10" s="28" t="str">
        <x:v>Yes</x:v>
      </x:c>
      <x:c r="F10" s="28" t="str">
        <x:v>Claim proxy / crew rate</x:v>
      </x:c>
      <x:c r="G10" s="28" t="str">
        <x:v>Low</x:v>
      </x:c>
      <x:c r="H10" s="28" t="str">
        <x:v>No</x:v>
      </x:c>
      <x:c r="I10" s="28" t="str">
        <x:v>Timed accepted rate</x:v>
      </x:c>
      <x:c r="J10" s="28" t="str">
        <x:v>53 lm proxy</x:v>
      </x:c>
      <x:c r="K10" s="28" t="str">
        <x:v>Weld contractor</x:v>
      </x:c>
    </x:row>
    <x:row r="11">
      <x:c r="A11" s="28" t="str">
        <x:v>Post-weld final preparation</x:v>
      </x:c>
      <x:c r="B11" s="44" t="n">
        <x:v>0.7</x:v>
      </x:c>
      <x:c r="C11" s="44" t="n">
        <x:v>1</x:v>
      </x:c>
      <x:c r="D11" s="44" t="n">
        <x:v>1.5</x:v>
      </x:c>
      <x:c r="E11" s="28" t="str">
        <x:v>Yes</x:v>
      </x:c>
      <x:c r="F11" s="28" t="str">
        <x:v>Engineering allowance</x:v>
      </x:c>
      <x:c r="G11" s="28" t="str">
        <x:v>Low</x:v>
      </x:c>
      <x:c r="H11" s="28" t="str">
        <x:v>No</x:v>
      </x:c>
      <x:c r="I11" s="28" t="str">
        <x:v>Coating trial</x:v>
      </x:c>
      <x:c r="J11" s="28" t="str">
        <x:v>Whole final work lot</x:v>
      </x:c>
      <x:c r="K11" s="28" t="str">
        <x:v>Prep crew</x:v>
      </x:c>
    </x:row>
    <x:row r="12">
      <x:c r="A12" s="28" t="str">
        <x:v>Active coating work</x:v>
      </x:c>
      <x:c r="B12" s="44" t="n">
        <x:v>1.2</x:v>
      </x:c>
      <x:c r="C12" s="44" t="n">
        <x:v>1.5</x:v>
      </x:c>
      <x:c r="D12" s="44" t="n">
        <x:v>2.5</x:v>
      </x:c>
      <x:c r="E12" s="28" t="str">
        <x:v>Yes</x:v>
      </x:c>
      <x:c r="F12" s="28" t="str">
        <x:v>Engineering allowance</x:v>
      </x:c>
      <x:c r="G12" s="28" t="str">
        <x:v>Low</x:v>
      </x:c>
      <x:c r="H12" s="28" t="str">
        <x:v>Partly</x:v>
      </x:c>
      <x:c r="I12" s="28" t="str">
        <x:v>G01 trial</x:v>
      </x:c>
      <x:c r="J12" s="28" t="str">
        <x:v>Both piles and headstock</x:v>
      </x:c>
      <x:c r="K12" s="28" t="str">
        <x:v>Painter</x:v>
      </x:c>
    </x:row>
    <x:row r="13">
      <x:c r="A13" s="28" t="str">
        <x:v>Coating elapsed holds</x:v>
      </x:c>
      <x:c r="B13" s="44" t="n">
        <x:v>1.4</x:v>
      </x:c>
      <x:c r="C13" s="44" t="n">
        <x:v>2.1</x:v>
      </x:c>
      <x:c r="D13" s="44" t="n">
        <x:v>4.2</x:v>
      </x:c>
      <x:c r="E13" s="28" t="str">
        <x:v>Yes</x:v>
      </x:c>
      <x:c r="F13" s="28" t="str">
        <x:v>G01 minimum recoat</x:v>
      </x:c>
      <x:c r="G13" s="28" t="str">
        <x:v>Medium</x:v>
      </x:c>
      <x:c r="H13" s="28" t="str">
        <x:v>Partly</x:v>
      </x:c>
      <x:c r="I13" s="28" t="str">
        <x:v>Dated work-lot logic</x:v>
      </x:c>
      <x:c r="J13" s="28" t="str">
        <x:v>14 h minimum per work lot; overlap unproven</x:v>
      </x:c>
      <x:c r="K13" s="28" t="str">
        <x:v>Painter / planner</x:v>
      </x:c>
    </x:row>
    <x:row r="14">
      <x:c r="A14" s="28" t="str">
        <x:v>Jackets above LAT</x:v>
      </x:c>
      <x:c r="B14" s="44" t="n">
        <x:v>0.8</x:v>
      </x:c>
      <x:c r="C14" s="44" t="n">
        <x:v>1</x:v>
      </x:c>
      <x:c r="D14" s="44" t="n">
        <x:v>1.5</x:v>
      </x:c>
      <x:c r="E14" s="28" t="str">
        <x:v>Yes</x:v>
      </x:c>
      <x:c r="F14" s="28" t="str">
        <x:v>Contract scope / trial</x:v>
      </x:c>
      <x:c r="G14" s="28" t="str">
        <x:v>Low</x:v>
      </x:c>
      <x:c r="H14" s="28" t="str">
        <x:v>No</x:v>
      </x:c>
      <x:c r="I14" s="28" t="str">
        <x:v>Timed trial</x:v>
      </x:c>
      <x:c r="J14" s="28" t="str">
        <x:v>Two typical piles</x:v>
      </x:c>
      <x:c r="K14" s="28" t="str">
        <x:v>Jacket crew</x:v>
      </x:c>
    </x:row>
    <x:row r="15">
      <x:c r="A15" s="28" t="str">
        <x:v>Jackets below LAT</x:v>
      </x:c>
      <x:c r="B15" s="44" t="n">
        <x:v>0.3</x:v>
      </x:c>
      <x:c r="C15" s="44" t="n">
        <x:v>0.5</x:v>
      </x:c>
      <x:c r="D15" s="44" t="n">
        <x:v>1</x:v>
      </x:c>
      <x:c r="E15" s="28" t="str">
        <x:v>Yes</x:v>
      </x:c>
      <x:c r="F15" s="28" t="str">
        <x:v>Engineering allowance</x:v>
      </x:c>
      <x:c r="G15" s="28" t="str">
        <x:v>Very low</x:v>
      </x:c>
      <x:c r="H15" s="28" t="str">
        <x:v>No</x:v>
      </x:c>
      <x:c r="I15" s="28" t="str">
        <x:v>Manufacturer / marine method</x:v>
      </x:c>
      <x:c r="J15" s="28" t="str">
        <x:v>Unresolved method</x:v>
      </x:c>
      <x:c r="K15" s="28" t="str">
        <x:v>Jacket specialist</x:v>
      </x:c>
    </x:row>
    <x:row r="16">
      <x:c r="A16" s="28" t="str">
        <x:v>Headstock containment / work</x:v>
      </x:c>
      <x:c r="B16" s="44" t="n">
        <x:v>0.6</x:v>
      </x:c>
      <x:c r="C16" s="44" t="n">
        <x:v>1</x:v>
      </x:c>
      <x:c r="D16" s="44" t="n">
        <x:v>2</x:v>
      </x:c>
      <x:c r="E16" s="28" t="str">
        <x:v>Yes</x:v>
      </x:c>
      <x:c r="F16" s="28" t="str">
        <x:v>Engineering allowance</x:v>
      </x:c>
      <x:c r="G16" s="28" t="str">
        <x:v>Very low</x:v>
      </x:c>
      <x:c r="H16" s="28" t="str">
        <x:v>No</x:v>
      </x:c>
      <x:c r="I16" s="28" t="str">
        <x:v>Supplier concept and trial</x:v>
      </x:c>
      <x:c r="J16" s="28" t="str">
        <x:v>Separate enclosure</x:v>
      </x:c>
      <x:c r="K16" s="28" t="str">
        <x:v>Containment supplier</x:v>
      </x:c>
    </x:row>
    <x:row r="17">
      <x:c r="A17" s="28" t="str">
        <x:v>Containment clean-out / QA / rework</x:v>
      </x:c>
      <x:c r="B17" s="44" t="n">
        <x:v>0.4</x:v>
      </x:c>
      <x:c r="C17" s="44" t="n">
        <x:v>0.75</x:v>
      </x:c>
      <x:c r="D17" s="44" t="n">
        <x:v>1.5</x:v>
      </x:c>
      <x:c r="E17" s="28" t="str">
        <x:v>Yes</x:v>
      </x:c>
      <x:c r="F17" s="28" t="str">
        <x:v>Engineering allowance</x:v>
      </x:c>
      <x:c r="G17" s="28" t="str">
        <x:v>Low</x:v>
      </x:c>
      <x:c r="H17" s="28" t="str">
        <x:v>No</x:v>
      </x:c>
      <x:c r="I17" s="28" t="str">
        <x:v>Trial</x:v>
      </x:c>
      <x:c r="J17" s="28" t="str">
        <x:v>Waste and closeout</x:v>
      </x:c>
      <x:c r="K17" s="28" t="str">
        <x:v>Delivery contractor</x:v>
      </x:c>
    </x:row>
    <x:row r="18">
      <x:c r="A18" s="28" t="str">
        <x:v>Final closeout</x:v>
      </x:c>
      <x:c r="B18" s="44" t="n">
        <x:v>0.2</x:v>
      </x:c>
      <x:c r="C18" s="44" t="n">
        <x:v>0.25</x:v>
      </x:c>
      <x:c r="D18" s="44" t="n">
        <x:v>0.5</x:v>
      </x:c>
      <x:c r="E18" s="28" t="str">
        <x:v>Yes</x:v>
      </x:c>
      <x:c r="F18" s="28" t="str">
        <x:v>Engineering allowance</x:v>
      </x:c>
      <x:c r="G18" s="28" t="str">
        <x:v>Low</x:v>
      </x:c>
      <x:c r="H18" s="28" t="str">
        <x:v>No</x:v>
      </x:c>
      <x:c r="I18" s="28" t="str">
        <x:v>QA release</x:v>
      </x:c>
      <x:c r="J18" s="28" t="str">
        <x:v>QA-closed definition</x:v>
      </x:c>
      <x:c r="K18" s="28" t="str">
        <x:v>QA</x:v>
      </x:c>
    </x:row>
    <x:row r="19">
      <x:c r="A19" s="50" t="str">
        <x:v>TOTAL</x:v>
      </x:c>
      <x:c r="B19" s="61" t="n">
        <x:f>SUM(B5:B18)</x:f>
        <x:v>10.142500000000002</x:v>
      </x:c>
      <x:c r="C19" s="61" t="n">
        <x:f>SUM(C5:C18)</x:f>
        <x:v>19.580000000000002</x:v>
      </x:c>
      <x:c r="D19" s="61" t="n">
        <x:f>SUM(D5:D18)</x:f>
        <x:v>39.14</x:v>
      </x:c>
      <x:c r="E19" s="50" t="str"/>
      <x:c r="F19" s="50" t="str"/>
      <x:c r="G19" s="50" t="str"/>
      <x:c r="H19" s="50" t="str"/>
      <x:c r="I19" s="50" t="str"/>
      <x:c r="J19" s="50" t="str"/>
      <x:c r="K19" s="50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26" hidden="0" customWidth="1"/>
  </x:cols>
  <x:sheetData>
    <x:row r="1" ht="30" customHeight="1">
      <x:c r="A1" s="5" t="str">
        <x:v>Fleet, Welding and Approval Sensitivity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Rates are QA-closed bents/week on one-shift operation. Night production is not assumed.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20" t="str">
        <x:v>Sets</x:v>
      </x:c>
      <x:c r="B4" s="20" t="str">
        <x:v>Low cycle rate</x:v>
      </x:c>
      <x:c r="C4" s="20" t="str">
        <x:v>Base cycle rate</x:v>
      </x:c>
      <x:c r="D4" s="20" t="str">
        <x:v>High cycle rate</x:v>
      </x:c>
      <x:c r="E4" s="20" t="str">
        <x:v>Stress target</x:v>
      </x:c>
    </x:row>
    <x:row r="5">
      <x:c r="A5" s="28" t="n">
        <x:v>2</x:v>
      </x:c>
      <x:c r="B5" s="44" t="n">
        <x:f>A5*'03 Assumptions'!C9/'10 Cycle Model'!B19*'03 Assumptions'!C11</x:f>
        <x:v>1.0056692137047079</x:v>
      </x:c>
      <x:c r="C5" s="44" t="n">
        <x:f>A5*'03 Assumptions'!C9/'10 Cycle Model'!C19*'03 Assumptions'!C11</x:f>
        <x:v>0.5209397344228804</x:v>
      </x:c>
      <x:c r="D5" s="44" t="n">
        <x:f>A5*'03 Assumptions'!C9/'10 Cycle Model'!D19*'03 Assumptions'!C11</x:f>
        <x:v>0.26060296371997954</x:v>
      </x:c>
      <x:c r="E5" s="44" t="n">
        <x:f>'03 Assumptions'!C20</x:f>
        <x:v>3.783333333333333</x:v>
      </x:c>
    </x:row>
    <x:row r="6">
      <x:c r="A6" s="28" t="n">
        <x:v>3</x:v>
      </x:c>
      <x:c r="B6" s="44" t="n">
        <x:f>A6*'03 Assumptions'!C9/'10 Cycle Model'!B19*'03 Assumptions'!C11</x:f>
        <x:v>1.5085038205570616</x:v>
      </x:c>
      <x:c r="C6" s="44" t="n">
        <x:f>A6*'03 Assumptions'!C9/'10 Cycle Model'!C19*'03 Assumptions'!C11</x:f>
        <x:v>0.7814096016343207</x:v>
      </x:c>
      <x:c r="D6" s="44" t="n">
        <x:f>A6*'03 Assumptions'!C9/'10 Cycle Model'!D19*'03 Assumptions'!C11</x:f>
        <x:v>0.39090444557996934</x:v>
      </x:c>
      <x:c r="E6" s="44" t="n">
        <x:f>'03 Assumptions'!C20</x:f>
        <x:v>3.783333333333333</x:v>
      </x:c>
    </x:row>
    <x:row r="7">
      <x:c r="A7" s="28" t="n">
        <x:v>4</x:v>
      </x:c>
      <x:c r="B7" s="44" t="n">
        <x:f>A7*'03 Assumptions'!C9/'10 Cycle Model'!B19*'03 Assumptions'!C11</x:f>
        <x:v>2.0113384274094157</x:v>
      </x:c>
      <x:c r="C7" s="44" t="n">
        <x:f>A7*'03 Assumptions'!C9/'10 Cycle Model'!C19*'03 Assumptions'!C11</x:f>
        <x:v>1.0418794688457609</x:v>
      </x:c>
      <x:c r="D7" s="44" t="n">
        <x:f>A7*'03 Assumptions'!C9/'10 Cycle Model'!D19*'03 Assumptions'!C11</x:f>
        <x:v>0.5212059274399591</x:v>
      </x:c>
      <x:c r="E7" s="44" t="n">
        <x:f>'03 Assumptions'!C20</x:f>
        <x:v>3.783333333333333</x:v>
      </x:c>
    </x:row>
    <x:row r="8">
      <x:c r="A8" s="28" t="n">
        <x:v>5</x:v>
      </x:c>
      <x:c r="B8" s="44" t="n">
        <x:f>A8*'03 Assumptions'!C9/'10 Cycle Model'!B19*'03 Assumptions'!C11</x:f>
        <x:v>2.5141730342617694</x:v>
      </x:c>
      <x:c r="C8" s="44" t="n">
        <x:f>A8*'03 Assumptions'!C9/'10 Cycle Model'!C19*'03 Assumptions'!C11</x:f>
        <x:v>1.3023493360572012</x:v>
      </x:c>
      <x:c r="D8" s="44" t="n">
        <x:f>A8*'03 Assumptions'!C9/'10 Cycle Model'!D19*'03 Assumptions'!C11</x:f>
        <x:v>0.6515074092999489</x:v>
      </x:c>
      <x:c r="E8" s="44" t="n">
        <x:f>'03 Assumptions'!C20</x:f>
        <x:v>3.783333333333333</x:v>
      </x:c>
    </x:row>
    <x:row r="9">
      <x:c r="A9" s="28" t="n">
        <x:v>6</x:v>
      </x:c>
      <x:c r="B9" s="44" t="n">
        <x:f>A9*'03 Assumptions'!C9/'10 Cycle Model'!B19*'03 Assumptions'!C11</x:f>
        <x:v>3.017007641114123</x:v>
      </x:c>
      <x:c r="C9" s="44" t="n">
        <x:f>A9*'03 Assumptions'!C9/'10 Cycle Model'!C19*'03 Assumptions'!C11</x:f>
        <x:v>1.5628192032686414</x:v>
      </x:c>
      <x:c r="D9" s="44" t="n">
        <x:f>A9*'03 Assumptions'!C9/'10 Cycle Model'!D19*'03 Assumptions'!C11</x:f>
        <x:v>0.7818088911599387</x:v>
      </x:c>
      <x:c r="E9" s="44" t="n">
        <x:f>'03 Assumptions'!C20</x:f>
        <x:v>3.783333333333333</x:v>
      </x:c>
    </x:row>
    <x:row r="10">
      <x:c r="A10" s="28" t="n">
        <x:v>7</x:v>
      </x:c>
      <x:c r="B10" s="44" t="n">
        <x:f>A10*'03 Assumptions'!C9/'10 Cycle Model'!B19*'03 Assumptions'!C11</x:f>
        <x:v>3.5198422479664764</x:v>
      </x:c>
      <x:c r="C10" s="44" t="n">
        <x:f>A10*'03 Assumptions'!C9/'10 Cycle Model'!C19*'03 Assumptions'!C11</x:f>
        <x:v>1.8232890704800817</x:v>
      </x:c>
      <x:c r="D10" s="44" t="n">
        <x:f>A10*'03 Assumptions'!C9/'10 Cycle Model'!D19*'03 Assumptions'!C11</x:f>
        <x:v>0.9121103730199284</x:v>
      </x:c>
      <x:c r="E10" s="44" t="n">
        <x:f>'03 Assumptions'!C20</x:f>
        <x:v>3.783333333333333</x:v>
      </x:c>
    </x:row>
    <x:row r="11">
      <x:c r="A11" s="28" t="n">
        <x:v>8</x:v>
      </x:c>
      <x:c r="B11" s="44" t="n">
        <x:f>A11*'03 Assumptions'!C9/'10 Cycle Model'!B19*'03 Assumptions'!C11</x:f>
        <x:v>4.022676854818831</x:v>
      </x:c>
      <x:c r="C11" s="44" t="n">
        <x:f>A11*'03 Assumptions'!C9/'10 Cycle Model'!C19*'03 Assumptions'!C11</x:f>
        <x:v>2.0837589376915218</x:v>
      </x:c>
      <x:c r="D11" s="44" t="n">
        <x:f>A11*'03 Assumptions'!C9/'10 Cycle Model'!D19*'03 Assumptions'!C11</x:f>
        <x:v>1.0424118548799182</x:v>
      </x:c>
      <x:c r="E11" s="44" t="n">
        <x:f>'03 Assumptions'!C20</x:f>
        <x:v>3.783333333333333</x:v>
      </x:c>
    </x:row>
    <x:row r="12">
      <x:c r="A12" s="28" t="n">
        <x:v>9</x:v>
      </x:c>
      <x:c r="B12" s="44" t="n">
        <x:f>A12*'03 Assumptions'!C9/'10 Cycle Model'!B19*'03 Assumptions'!C11</x:f>
        <x:v>4.525511461671185</x:v>
      </x:c>
      <x:c r="C12" s="44" t="n">
        <x:f>A12*'03 Assumptions'!C9/'10 Cycle Model'!C19*'03 Assumptions'!C11</x:f>
        <x:v>2.344228804902962</x:v>
      </x:c>
      <x:c r="D12" s="44" t="n">
        <x:f>A12*'03 Assumptions'!C9/'10 Cycle Model'!D19*'03 Assumptions'!C11</x:f>
        <x:v>1.1727133367399079</x:v>
      </x:c>
      <x:c r="E12" s="44" t="n">
        <x:f>'03 Assumptions'!C20</x:f>
        <x:v>3.783333333333333</x:v>
      </x:c>
    </x:row>
    <x:row r="13">
      <x:c r="A13" s="28" t="n">
        <x:v>10</x:v>
      </x:c>
      <x:c r="B13" s="44" t="n">
        <x:f>A13*'03 Assumptions'!C9/'10 Cycle Model'!B19*'03 Assumptions'!C11</x:f>
        <x:v>5.028346068523539</x:v>
      </x:c>
      <x:c r="C13" s="44" t="n">
        <x:f>A13*'03 Assumptions'!C9/'10 Cycle Model'!C19*'03 Assumptions'!C11</x:f>
        <x:v>2.6046986721144023</x:v>
      </x:c>
      <x:c r="D13" s="44" t="n">
        <x:f>A13*'03 Assumptions'!C9/'10 Cycle Model'!D19*'03 Assumptions'!C11</x:f>
        <x:v>1.3030148185998978</x:v>
      </x:c>
      <x:c r="E13" s="44" t="n">
        <x:f>'03 Assumptions'!C20</x:f>
        <x:v>3.783333333333333</x:v>
      </x:c>
    </x:row>
    <x:row r="14">
      <x:c r="A14" s="28" t="n">
        <x:v>11</x:v>
      </x:c>
      <x:c r="B14" s="44" t="n">
        <x:f>A14*'03 Assumptions'!C9/'10 Cycle Model'!B19*'03 Assumptions'!C11</x:f>
        <x:v>5.531180675375892</x:v>
      </x:c>
      <x:c r="C14" s="44" t="n">
        <x:f>A14*'03 Assumptions'!C9/'10 Cycle Model'!C19*'03 Assumptions'!C11</x:f>
        <x:v>2.8651685393258424</x:v>
      </x:c>
      <x:c r="D14" s="44" t="n">
        <x:f>A14*'03 Assumptions'!C9/'10 Cycle Model'!D19*'03 Assumptions'!C11</x:f>
        <x:v>1.4333163004598874</x:v>
      </x:c>
      <x:c r="E14" s="44" t="n">
        <x:f>'03 Assumptions'!C20</x:f>
        <x:v>3.783333333333333</x:v>
      </x:c>
    </x:row>
    <x:row r="15">
      <x:c r="A15" s="28" t="n">
        <x:v>12</x:v>
      </x:c>
      <x:c r="B15" s="44" t="n">
        <x:f>A15*'03 Assumptions'!C9/'10 Cycle Model'!B19*'03 Assumptions'!C11</x:f>
        <x:v>6.034015282228246</x:v>
      </x:c>
      <x:c r="C15" s="44" t="n">
        <x:f>A15*'03 Assumptions'!C9/'10 Cycle Model'!C19*'03 Assumptions'!C11</x:f>
        <x:v>3.125638406537283</x:v>
      </x:c>
      <x:c r="D15" s="44" t="n">
        <x:f>A15*'03 Assumptions'!C9/'10 Cycle Model'!D19*'03 Assumptions'!C11</x:f>
        <x:v>1.5636177823198774</x:v>
      </x:c>
      <x:c r="E15" s="44" t="n">
        <x:f>'03 Assumptions'!C20</x:f>
        <x:v>3.783333333333333</x:v>
      </x:c>
    </x:row>
    <x:row r="16">
      <x:c r="A16" s="28" t="n">
        <x:v>13</x:v>
      </x:c>
      <x:c r="B16" s="44" t="n">
        <x:f>A16*'03 Assumptions'!C9/'10 Cycle Model'!B19*'03 Assumptions'!C11</x:f>
        <x:v>6.5368498890806</x:v>
      </x:c>
      <x:c r="C16" s="44" t="n">
        <x:f>A16*'03 Assumptions'!C9/'10 Cycle Model'!C19*'03 Assumptions'!C11</x:f>
        <x:v>3.3861082737487225</x:v>
      </x:c>
      <x:c r="D16" s="44" t="n">
        <x:f>A16*'03 Assumptions'!C9/'10 Cycle Model'!D19*'03 Assumptions'!C11</x:f>
        <x:v>1.693919264179867</x:v>
      </x:c>
      <x:c r="E16" s="44" t="n">
        <x:f>'03 Assumptions'!C20</x:f>
        <x:v>3.783333333333333</x:v>
      </x:c>
    </x:row>
    <x:row r="17">
      <x:c r="A17" s="28" t="n">
        <x:v>14</x:v>
      </x:c>
      <x:c r="B17" s="44" t="n">
        <x:f>A17*'03 Assumptions'!C9/'10 Cycle Model'!B19*'03 Assumptions'!C11</x:f>
        <x:v>7.039684495932953</x:v>
      </x:c>
      <x:c r="C17" s="44" t="n">
        <x:f>A17*'03 Assumptions'!C9/'10 Cycle Model'!C19*'03 Assumptions'!C11</x:f>
        <x:v>3.6465781409601634</x:v>
      </x:c>
      <x:c r="D17" s="44" t="n">
        <x:f>A17*'03 Assumptions'!C9/'10 Cycle Model'!D19*'03 Assumptions'!C11</x:f>
        <x:v>1.8242207460398567</x:v>
      </x:c>
      <x:c r="E17" s="44" t="n">
        <x:f>'03 Assumptions'!C20</x:f>
        <x:v>3.783333333333333</x:v>
      </x:c>
    </x:row>
    <x:row r="18">
      <x:c r="A18" s="28" t="n">
        <x:v>15</x:v>
      </x:c>
      <x:c r="B18" s="44" t="n">
        <x:f>A18*'03 Assumptions'!C9/'10 Cycle Model'!B19*'03 Assumptions'!C11</x:f>
        <x:v>7.542519102785309</x:v>
      </x:c>
      <x:c r="C18" s="44" t="n">
        <x:f>A18*'03 Assumptions'!C9/'10 Cycle Model'!C19*'03 Assumptions'!C11</x:f>
        <x:v>3.907048008171603</x:v>
      </x:c>
      <x:c r="D18" s="44" t="n">
        <x:f>A18*'03 Assumptions'!C9/'10 Cycle Model'!D19*'03 Assumptions'!C11</x:f>
        <x:v>1.9545222278998464</x:v>
      </x:c>
      <x:c r="E18" s="44" t="n">
        <x:f>'03 Assumptions'!C20</x:f>
        <x:v>3.783333333333333</x:v>
      </x:c>
    </x:row>
    <x:row r="19">
      <x:c r="A19" s="28" t="n">
        <x:v>16</x:v>
      </x:c>
      <x:c r="B19" s="44" t="n">
        <x:f>A19*'03 Assumptions'!C9/'10 Cycle Model'!B19*'03 Assumptions'!C11</x:f>
        <x:v>8.045353709637663</x:v>
      </x:c>
      <x:c r="C19" s="44" t="n">
        <x:f>A19*'03 Assumptions'!C9/'10 Cycle Model'!C19*'03 Assumptions'!C11</x:f>
        <x:v>4.1675178753830435</x:v>
      </x:c>
      <x:c r="D19" s="44" t="n">
        <x:f>A19*'03 Assumptions'!C9/'10 Cycle Model'!D19*'03 Assumptions'!C11</x:f>
        <x:v>2.0848237097598363</x:v>
      </x:c>
      <x:c r="E19" s="44" t="n">
        <x:f>'03 Assumptions'!C20</x:f>
        <x:v>3.783333333333333</x:v>
      </x:c>
    </x:row>
    <x:row r="20">
      <x:c r="A20" s="28" t="n">
        <x:v>17</x:v>
      </x:c>
      <x:c r="B20" s="44" t="n">
        <x:f>A20*'03 Assumptions'!C9/'10 Cycle Model'!B19*'03 Assumptions'!C11</x:f>
        <x:v>8.548188316490016</x:v>
      </x:c>
      <x:c r="C20" s="44" t="n">
        <x:f>A20*'03 Assumptions'!C9/'10 Cycle Model'!C19*'03 Assumptions'!C11</x:f>
        <x:v>4.427987742594484</x:v>
      </x:c>
      <x:c r="D20" s="44" t="n">
        <x:f>A20*'03 Assumptions'!C9/'10 Cycle Model'!D19*'03 Assumptions'!C11</x:f>
        <x:v>2.2151251916198262</x:v>
      </x:c>
      <x:c r="E20" s="44" t="n">
        <x:f>'03 Assumptions'!C20</x:f>
        <x:v>3.783333333333333</x:v>
      </x:c>
    </x:row>
    <x:row r="21">
      <x:c r="A21" s="28" t="n">
        <x:v>18</x:v>
      </x:c>
      <x:c r="B21" s="44" t="n">
        <x:f>A21*'03 Assumptions'!C9/'10 Cycle Model'!B19*'03 Assumptions'!C11</x:f>
        <x:v>9.05102292334237</x:v>
      </x:c>
      <x:c r="C21" s="44" t="n">
        <x:f>A21*'03 Assumptions'!C9/'10 Cycle Model'!C19*'03 Assumptions'!C11</x:f>
        <x:v>4.688457609805924</x:v>
      </x:c>
      <x:c r="D21" s="44" t="n">
        <x:f>A21*'03 Assumptions'!C9/'10 Cycle Model'!D19*'03 Assumptions'!C11</x:f>
        <x:v>2.3454266734798157</x:v>
      </x:c>
      <x:c r="E21" s="44" t="n">
        <x:f>'03 Assumptions'!C20</x:f>
        <x:v>3.783333333333333</x:v>
      </x:c>
    </x:row>
    <x:row r="22">
      <x:c r="A22" s="28" t="n">
        <x:v>19</x:v>
      </x:c>
      <x:c r="B22" s="44" t="n">
        <x:f>A22*'03 Assumptions'!C9/'10 Cycle Model'!B19*'03 Assumptions'!C11</x:f>
        <x:v>9.553857530194723</x:v>
      </x:c>
      <x:c r="C22" s="44" t="n">
        <x:f>A22*'03 Assumptions'!C9/'10 Cycle Model'!C19*'03 Assumptions'!C11</x:f>
        <x:v>4.948927477017365</x:v>
      </x:c>
      <x:c r="D22" s="44" t="n">
        <x:f>A22*'03 Assumptions'!C9/'10 Cycle Model'!D19*'03 Assumptions'!C11</x:f>
        <x:v>2.4757281553398056</x:v>
      </x:c>
      <x:c r="E22" s="44" t="n">
        <x:f>'03 Assumptions'!C20</x:f>
        <x:v>3.783333333333333</x:v>
      </x:c>
    </x:row>
    <x:row r="23">
      <x:c r="A23" s="28" t="n">
        <x:v>20</x:v>
      </x:c>
      <x:c r="B23" s="44" t="n">
        <x:f>A23*'03 Assumptions'!C9/'10 Cycle Model'!B19*'03 Assumptions'!C11</x:f>
        <x:v>10.056692137047078</x:v>
      </x:c>
      <x:c r="C23" s="44" t="n">
        <x:f>A23*'03 Assumptions'!C9/'10 Cycle Model'!C19*'03 Assumptions'!C11</x:f>
        <x:v>5.209397344228805</x:v>
      </x:c>
      <x:c r="D23" s="44" t="n">
        <x:f>A23*'03 Assumptions'!C9/'10 Cycle Model'!D19*'03 Assumptions'!C11</x:f>
        <x:v>2.6060296371997955</x:v>
      </x:c>
      <x:c r="E23" s="44" t="n">
        <x:f>'03 Assumptions'!C20</x:f>
        <x:v>3.783333333333333</x:v>
      </x:c>
    </x:row>
    <x:row r="27">
      <x:c r="A27" s="20" t="str">
        <x:v>Scenario</x:v>
      </x:c>
      <x:c r="B27" s="20" t="str">
        <x:v>Weld crews / set</x:v>
      </x:c>
      <x:c r="C27" s="20" t="str">
        <x:v>lm / crew-shift</x:v>
      </x:c>
      <x:c r="D27" s="20" t="str">
        <x:v>Routine hold d</x:v>
      </x:c>
      <x:c r="E27" s="20" t="str">
        <x:v>Cycle d</x:v>
      </x:c>
      <x:c r="F27" s="20" t="str">
        <x:v>Sets for stress rate</x:v>
      </x:c>
      <x:c r="G27" s="20" t="str">
        <x:v>Rate at selected sets</x:v>
      </x:c>
      <x:c r="H27" s="20" t="str">
        <x:v>Evidence status</x:v>
      </x:c>
    </x:row>
    <x:row r="28">
      <x:c r="A28" s="28" t="str">
        <x:v>S1 Conservative complete cycle</x:v>
      </x:c>
      <x:c r="B28" s="28" t="n">
        <x:v>2</x:v>
      </x:c>
      <x:c r="C28" s="28" t="n">
        <x:v>6</x:v>
      </x:c>
      <x:c r="D28" s="44" t="n">
        <x:v>3</x:v>
      </x:c>
      <x:c r="E28" s="44" t="n">
        <x:f>'10 Cycle Model'!C19</x:f>
        <x:v>19.580000000000002</x:v>
      </x:c>
      <x:c r="F28" s="70" t="n">
        <x:f>ROUNDUP('03 Assumptions'!C20*E28/('03 Assumptions'!C9*'03 Assumptions'!C11),0)</x:f>
        <x:v>15</x:v>
      </x:c>
      <x:c r="G28" s="44" t="n">
        <x:f>'03 Assumptions'!C17*'03 Assumptions'!C9/E28*'03 Assumptions'!C11</x:f>
        <x:v>2.8651685393258424</x:v>
      </x:c>
      <x:c r="H28" s="28" t="str">
        <x:v>Planning allowance</x:v>
      </x:c>
    </x:row>
    <x:row r="29">
      <x:c r="A29" s="28" t="str">
        <x:v>S2 Improved welding</x:v>
      </x:c>
      <x:c r="B29" s="28" t="n">
        <x:v>4</x:v>
      </x:c>
      <x:c r="C29" s="28" t="n">
        <x:v>8</x:v>
      </x:c>
      <x:c r="D29" s="44" t="n">
        <x:v>3</x:v>
      </x:c>
      <x:c r="E29" s="44" t="n">
        <x:f>'10 Cycle Model'!C19-'10 Cycle Model'!C10+'03 Assumptions'!C13/(B29*C29)</x:f>
        <x:v>16.8425</x:v>
      </x:c>
      <x:c r="F29" s="70" t="n">
        <x:f>ROUNDUP('03 Assumptions'!C20*E29/('03 Assumptions'!C9*'03 Assumptions'!C11),0)</x:f>
        <x:v>13</x:v>
      </x:c>
      <x:c r="G29" s="44" t="n">
        <x:f>'03 Assumptions'!C17*'03 Assumptions'!C9/E29*'03 Assumptions'!C11</x:f>
        <x:v>3.3308594329820393</x:v>
      </x:c>
      <x:c r="H29" s="28" t="str">
        <x:v>Trial required</x:v>
      </x:c>
    </x:row>
    <x:row r="30">
      <x:c r="A30" s="28" t="str">
        <x:v>S3 Repair library + improved welding</x:v>
      </x:c>
      <x:c r="B30" s="28" t="n">
        <x:v>4</x:v>
      </x:c>
      <x:c r="C30" s="28" t="n">
        <x:v>8</x:v>
      </x:c>
      <x:c r="D30" s="44" t="n">
        <x:v>0</x:v>
      </x:c>
      <x:c r="E30" s="44" t="n">
        <x:f>'10 Cycle Model'!C19-'10 Cycle Model'!C9-'10 Cycle Model'!C10+'03 Assumptions'!C13/(B30*C30)+D30</x:f>
        <x:v>13.842500000000003</x:v>
      </x:c>
      <x:c r="F30" s="70" t="n">
        <x:f>ROUNDUP('03 Assumptions'!C20*E30/('03 Assumptions'!C9*'03 Assumptions'!C11),0)</x:f>
        <x:v>11</x:v>
      </x:c>
      <x:c r="G30" s="44" t="n">
        <x:f>'03 Assumptions'!C17*'03 Assumptions'!C9/E30*'03 Assumptions'!C11</x:f>
        <x:v>4.052736138703268</x:v>
      </x:c>
      <x:c r="H30" s="28" t="str">
        <x:v>Conditional central case</x:v>
      </x:c>
    </x:row>
    <x:row r="31">
      <x:c r="A31" s="28" t="str">
        <x:v>S4 Upside</x:v>
      </x:c>
      <x:c r="B31" s="28" t="n">
        <x:v>6</x:v>
      </x:c>
      <x:c r="C31" s="28" t="n">
        <x:v>10</x:v>
      </x:c>
      <x:c r="D31" s="44" t="n">
        <x:v>0</x:v>
      </x:c>
      <x:c r="E31" s="44" t="n">
        <x:f>'10 Cycle Model'!C19-'10 Cycle Model'!C9-'10 Cycle Model'!C10+'03 Assumptions'!C13/(B31*C31)+D31</x:f>
        <x:v>13.076000000000002</x:v>
      </x:c>
      <x:c r="F31" s="70" t="n">
        <x:f>ROUNDUP('03 Assumptions'!C20*E31/('03 Assumptions'!C9*'03 Assumptions'!C11),0)</x:f>
        <x:v>10</x:v>
      </x:c>
      <x:c r="G31" s="44" t="n">
        <x:f>'03 Assumptions'!C17*'03 Assumptions'!C9/E31*'03 Assumptions'!C11</x:f>
        <x:v>4.290302844906699</x:v>
      </x:c>
      <x:c r="H31" s="28" t="str">
        <x:v>Not demonstrated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50" hidden="0" customWidth="1"/>
    <x:col min="7" max="7" width="38" hidden="0" customWidth="1"/>
    <x:col min="8" max="8" width="44" hidden="0" customWidth="1"/>
  </x:cols>
  <x:sheetData>
    <x:row r="1" ht="30" customHeight="1">
      <x:c r="A1" s="5" t="str">
        <x:v>Marine Spread, JUB Reach and Relocation Logic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Concept calculations only. A selected JUB, bathymetry and service architecture are mandatory before commitment.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Parameter</x:v>
      </x:c>
      <x:c r="B4" s="20" t="str">
        <x:v>30 m reach</x:v>
      </x:c>
      <x:c r="C4" s="20" t="str">
        <x:v>40 m reach</x:v>
      </x:c>
      <x:c r="D4" s="20" t="str">
        <x:v>50 m reach</x:v>
      </x:c>
      <x:c r="E4" s="20" t="str">
        <x:v>Unit</x:v>
      </x:c>
      <x:c r="F4" s="20" t="str">
        <x:v>Basis / limitation</x:v>
      </x:c>
    </x:row>
    <x:row r="5">
      <x:c r="A5" s="28" t="str">
        <x:v>Bents served per stand</x:v>
      </x:c>
      <x:c r="B5" s="44" t="n">
        <x:v>3</x:v>
      </x:c>
      <x:c r="C5" s="44" t="n">
        <x:v>4</x:v>
      </x:c>
      <x:c r="D5" s="44" t="n">
        <x:v>5</x:v>
      </x:c>
      <x:c r="E5" s="28" t="str">
        <x:v>bents</x:v>
      </x:c>
      <x:c r="F5" s="28" t="str">
        <x:v>Concept presentation; confirm from GA and crane geometry</x:v>
      </x:c>
    </x:row>
    <x:row r="6">
      <x:c r="A6" s="28" t="str">
        <x:v>Stress-case bents</x:v>
      </x:c>
      <x:c r="B6" s="44" t="n">
        <x:v>227</x:v>
      </x:c>
      <x:c r="C6" s="44" t="n">
        <x:v>227</x:v>
      </x:c>
      <x:c r="D6" s="44" t="n">
        <x:v>227</x:v>
      </x:c>
      <x:c r="E6" s="28" t="str">
        <x:v>bents</x:v>
      </x:c>
      <x:c r="F6" s="28" t="str">
        <x:v>Whole-scope stress case</x:v>
      </x:c>
    </x:row>
    <x:row r="7">
      <x:c r="A7" s="28" t="str">
        <x:v>Required stands</x:v>
      </x:c>
      <x:c r="B7" s="44" t="n">
        <x:f>ROUNDUP(B6/B5,0)</x:f>
        <x:v>76</x:v>
      </x:c>
      <x:c r="C7" s="44" t="n">
        <x:f>ROUNDUP(C6/C5,0)</x:f>
        <x:v>57</x:v>
      </x:c>
      <x:c r="D7" s="44" t="n">
        <x:f>ROUNDUP(D6/D5,0)</x:f>
        <x:v>46</x:v>
      </x:c>
      <x:c r="E7" s="28" t="str">
        <x:v>stands</x:v>
      </x:c>
      <x:c r="F7" s="28" t="str">
        <x:v>Does not include overlap or restricted locations</x:v>
      </x:c>
    </x:row>
    <x:row r="8">
      <x:c r="A8" s="28" t="str">
        <x:v>JUB moves</x:v>
      </x:c>
      <x:c r="B8" s="44" t="n">
        <x:f>B7-1</x:f>
        <x:v>75</x:v>
      </x:c>
      <x:c r="C8" s="44" t="n">
        <x:f>C7-1</x:f>
        <x:v>56</x:v>
      </x:c>
      <x:c r="D8" s="44" t="n">
        <x:f>D7-1</x:f>
        <x:v>45</x:v>
      </x:c>
      <x:c r="E8" s="28" t="str">
        <x:v>moves</x:v>
      </x:c>
      <x:c r="F8" s="28" t="str">
        <x:v>Initial stand excluded</x:v>
      </x:c>
    </x:row>
    <x:row r="9">
      <x:c r="A9" s="28" t="str">
        <x:v>Move duration</x:v>
      </x:c>
      <x:c r="B9" s="44" t="n">
        <x:v>0.5</x:v>
      </x:c>
      <x:c r="C9" s="44" t="n">
        <x:v>0.5</x:v>
      </x:c>
      <x:c r="D9" s="44" t="n">
        <x:v>0.5</x:v>
      </x:c>
      <x:c r="E9" s="28" t="str">
        <x:v>shift/move</x:v>
      </x:c>
      <x:c r="F9" s="28" t="str">
        <x:v>Concept allowance</x:v>
      </x:c>
    </x:row>
    <x:row r="10">
      <x:c r="A10" s="28" t="str">
        <x:v>Total move shifts</x:v>
      </x:c>
      <x:c r="B10" s="44" t="n">
        <x:f>B8*B9</x:f>
        <x:v>37.5</x:v>
      </x:c>
      <x:c r="C10" s="44" t="n">
        <x:f>C8*C9</x:f>
        <x:v>28</x:v>
      </x:c>
      <x:c r="D10" s="44" t="n">
        <x:f>D8*D9</x:f>
        <x:v>22.5</x:v>
      </x:c>
      <x:c r="E10" s="28" t="str">
        <x:v>shifts</x:v>
      </x:c>
      <x:c r="F10" s="28" t="str">
        <x:v>Sequence during crew-off-water periods</x:v>
      </x:c>
    </x:row>
    <x:row r="13">
      <x:c r="A13" s="20" t="str">
        <x:v>Marine cell input</x:v>
      </x:c>
      <x:c r="B13" s="20" t="str">
        <x:v>Value</x:v>
      </x:c>
      <x:c r="C13" s="20" t="str">
        <x:v>Unit</x:v>
      </x:c>
      <x:c r="D13" s="20" t="str">
        <x:v>Basis</x:v>
      </x:c>
      <x:c r="F13" s="20" t="str">
        <x:v>Scale issue</x:v>
      </x:c>
      <x:c r="G13" s="20" t="str">
        <x:v>Consequence</x:v>
      </x:c>
      <x:c r="H13" s="20" t="str">
        <x:v>Required action</x:v>
      </x:c>
    </x:row>
    <x:row r="14">
      <x:c r="A14" s="28" t="str">
        <x:v>Selected complete access sets</x:v>
      </x:c>
      <x:c r="B14" s="28" t="n">
        <x:f>'03 Assumptions'!C17</x:f>
        <x:v>11</x:v>
      </x:c>
      <x:c r="C14" s="28" t="str">
        <x:v>sets</x:v>
      </x:c>
      <x:c r="D14" s="28" t="str">
        <x:v>Scenario input</x:v>
      </x:c>
      <x:c r="F14" s="28" t="str">
        <x:v>One JUB cannot service a dispersed large platform fleet by hose and crane alone</x:v>
      </x:c>
      <x:c r="G14" s="28" t="str">
        <x:v>Multiple JUBs or distributed service pods may be required</x:v>
      </x:c>
      <x:c r="H14" s="28" t="str">
        <x:v>Develop cell architecture before fleet recommendation</x:v>
      </x:c>
    </x:row>
    <x:row r="15">
      <x:c r="A15" s="28" t="str">
        <x:v>Sets per JUB / service cell</x:v>
      </x:c>
      <x:c r="B15" s="39" t="n">
        <x:f>'03 Assumptions'!C18</x:f>
        <x:v>5</x:v>
      </x:c>
      <x:c r="C15" s="28" t="str">
        <x:v>sets/JUB</x:v>
      </x:c>
      <x:c r="D15" s="28" t="str">
        <x:v>Open assumption</x:v>
      </x:c>
      <x:c r="F15" s="28" t="str">
        <x:v>50 m reach may not equal five bents once offset and obstructions are applied</x:v>
      </x:c>
      <x:c r="G15" s="28" t="str">
        <x:v>Stand count and crane size can change</x:v>
      </x:c>
      <x:c r="H15" s="28" t="str">
        <x:v>Plot reach on GA and selected crane chart</x:v>
      </x:c>
    </x:row>
    <x:row r="16">
      <x:c r="A16" s="28" t="str">
        <x:v>JUB units required</x:v>
      </x:c>
      <x:c r="B16" s="28" t="n">
        <x:f>ROUNDUP(B14/B15,0)</x:f>
        <x:v>3</x:v>
      </x:c>
      <x:c r="C16" s="28" t="str">
        <x:v>units</x:v>
      </x:c>
      <x:c r="D16" s="28" t="str">
        <x:v>Scales cost and recovery</x:v>
      </x:c>
      <x:c r="F16" s="28" t="str">
        <x:v>Workboat rated load/person limit</x:v>
      </x:c>
      <x:c r="G16" s="28" t="str">
        <x:v>Cannot combine rescue, freight and platform move indiscriminately</x:v>
      </x:c>
      <x:c r="H16" s="28" t="str">
        <x:v>Dedicated rescue craft and load plan</x:v>
      </x:c>
    </x:row>
    <x:row r="17">
      <x:c r="A17" s="28" t="str">
        <x:v>Workboats</x:v>
      </x:c>
      <x:c r="B17" s="28" t="n">
        <x:f>B16</x:f>
        <x:v>3</x:v>
      </x:c>
      <x:c r="C17" s="28" t="str">
        <x:v>units</x:v>
      </x:c>
      <x:c r="D17" s="28" t="str">
        <x:v>One per cell minimum</x:v>
      </x:c>
      <x:c r="F17" s="28" t="str">
        <x:v>Cyclone recovery of full fleet</x:v>
      </x:c>
      <x:c r="G17" s="28" t="str">
        <x:v>May be clearance blocking</x:v>
      </x:c>
      <x:c r="H17" s="28" t="str">
        <x:v>Timed recovery and refuge plan before scale-up</x:v>
      </x:c>
    </x:row>
    <x:row r="18">
      <x:c r="A18" s="28" t="str">
        <x:v>Dedicated rescue craft</x:v>
      </x:c>
      <x:c r="B18" s="28" t="n">
        <x:f>B16</x:f>
        <x:v>3</x:v>
      </x:c>
      <x:c r="C18" s="28" t="str">
        <x:v>units</x:v>
      </x:c>
      <x:c r="D18" s="28" t="str">
        <x:v>Rescue availability cannot be lost during platform moves</x:v>
      </x:c>
    </x:row>
    <x:row r="19">
      <x:c r="A19" s="28" t="str">
        <x:v>Selected crane reach</x:v>
      </x:c>
      <x:c r="B19" s="39" t="n">
        <x:v>50</x:v>
      </x:c>
      <x:c r="C19" s="28" t="str">
        <x:v>m</x:v>
      </x:c>
      <x:c r="D19" s="28" t="str">
        <x:v>Planning basis only</x:v>
      </x:c>
    </x:row>
    <x:row r="20">
      <x:c r="A20" s="28" t="str">
        <x:v>Cyclone recovery duration</x:v>
      </x:c>
      <x:c r="B20" s="39"/>
      <x:c r="C20" s="28" t="str">
        <x:v>hours</x:v>
      </x:c>
      <x:c r="D20" s="28" t="str">
        <x:v>Timed drill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36" hidden="0" customWidth="1"/>
    <x:col min="10" max="10" width="16" hidden="0" customWidth="1"/>
    <x:col min="11" max="11" width="14" hidden="0" customWidth="1"/>
  </x:cols>
  <x:sheetData>
    <x:row r="1" ht="30" customHeight="1">
      <x:c r="A1" s="5" t="str">
        <x:v>Cost Input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Verified contract rates and clearly labelled Endura planning allowances. Replace allowances with written supplier quotations.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ID</x:v>
      </x:c>
      <x:c r="B4" s="20" t="str">
        <x:v>Item</x:v>
      </x:c>
      <x:c r="C4" s="20" t="str">
        <x:v>Unit</x:v>
      </x:c>
      <x:c r="D4" s="20" t="str">
        <x:v>Low</x:v>
      </x:c>
      <x:c r="E4" s="20" t="str">
        <x:v>Base</x:v>
      </x:c>
      <x:c r="F4" s="20" t="str">
        <x:v>High</x:v>
      </x:c>
      <x:c r="G4" s="20" t="str">
        <x:v>Selected</x:v>
      </x:c>
      <x:c r="H4" s="20" t="str">
        <x:v>Basis class</x:v>
      </x:c>
      <x:c r="I4" s="20" t="str">
        <x:v>Source</x:v>
      </x:c>
      <x:c r="J4" s="20" t="str">
        <x:v>Confidence</x:v>
      </x:c>
      <x:c r="K4" s="20" t="str">
        <x:v>Use in model?</x:v>
      </x:c>
    </x:row>
    <x:row r="5">
      <x:c r="A5" s="28" t="str">
        <x:v>R01</x:v>
      </x:c>
      <x:c r="B5" s="28" t="str">
        <x:v>Engineering / temporary works / prototype</x:v>
      </x:c>
      <x:c r="C5" s="28" t="str">
        <x:v>lump sum</x:v>
      </x:c>
      <x:c r="D5" s="46" t="n">
        <x:v>500000</x:v>
      </x:c>
      <x:c r="E5" s="46" t="n">
        <x:v>900000</x:v>
      </x:c>
      <x:c r="F5" s="46" t="n">
        <x:v>1500000</x:v>
      </x:c>
      <x:c r="G5" s="73" t="n">
        <x:f>E5</x:f>
        <x:v>900000</x:v>
      </x:c>
      <x:c r="H5" s="28" t="str">
        <x:v>Endura planning allowance</x:v>
      </x:c>
      <x:c r="I5" s="28" t="str">
        <x:v>No supplier quote</x:v>
      </x:c>
      <x:c r="J5" s="28" t="str">
        <x:v>Low</x:v>
      </x:c>
      <x:c r="K5" s="28" t="str">
        <x:v>Yes</x:v>
      </x:c>
    </x:row>
    <x:row r="6">
      <x:c r="A6" s="28" t="str">
        <x:v>R02</x:v>
      </x:c>
      <x:c r="B6" s="28" t="str">
        <x:v>Two-set proving mobilisation and test</x:v>
      </x:c>
      <x:c r="C6" s="28" t="str">
        <x:v>lump sum</x:v>
      </x:c>
      <x:c r="D6" s="46" t="n">
        <x:v>300000</x:v>
      </x:c>
      <x:c r="E6" s="46" t="n">
        <x:v>600000</x:v>
      </x:c>
      <x:c r="F6" s="46" t="n">
        <x:v>1000000</x:v>
      </x:c>
      <x:c r="G6" s="73" t="n">
        <x:f>E6</x:f>
        <x:v>600000</x:v>
      </x:c>
      <x:c r="H6" s="28" t="str">
        <x:v>Endura planning allowance</x:v>
      </x:c>
      <x:c r="I6" s="28" t="str">
        <x:v>No supplier quote</x:v>
      </x:c>
      <x:c r="J6" s="28" t="str">
        <x:v>Low</x:v>
      </x:c>
      <x:c r="K6" s="28" t="str">
        <x:v>Yes</x:v>
      </x:c>
    </x:row>
    <x:row r="7">
      <x:c r="A7" s="28" t="str">
        <x:v>R03</x:v>
      </x:c>
      <x:c r="B7" s="28" t="str">
        <x:v>Floating platform pair / complete set</x:v>
      </x:c>
      <x:c r="C7" s="28" t="str">
        <x:v>set</x:v>
      </x:c>
      <x:c r="D7" s="46" t="n">
        <x:v>250000</x:v>
      </x:c>
      <x:c r="E7" s="46" t="n">
        <x:v>450000</x:v>
      </x:c>
      <x:c r="F7" s="46" t="n">
        <x:v>750000</x:v>
      </x:c>
      <x:c r="G7" s="73" t="n">
        <x:f>E7</x:f>
        <x:v>450000</x:v>
      </x:c>
      <x:c r="H7" s="28" t="str">
        <x:v>Endura planning allowance</x:v>
      </x:c>
      <x:c r="I7" s="28" t="str">
        <x:v>GGC monetary quote not located</x:v>
      </x:c>
      <x:c r="J7" s="28" t="str">
        <x:v>Low</x:v>
      </x:c>
      <x:c r="K7" s="28" t="str">
        <x:v>Yes</x:v>
      </x:c>
    </x:row>
    <x:row r="8">
      <x:c r="A8" s="28" t="str">
        <x:v>R04</x:v>
      </x:c>
      <x:c r="B8" s="28" t="str">
        <x:v>Hoists, sliding clamps and restraint system</x:v>
      </x:c>
      <x:c r="C8" s="28" t="str">
        <x:v>set</x:v>
      </x:c>
      <x:c r="D8" s="46" t="n">
        <x:v>80000</x:v>
      </x:c>
      <x:c r="E8" s="46" t="n">
        <x:v>150000</x:v>
      </x:c>
      <x:c r="F8" s="46" t="n">
        <x:v>250000</x:v>
      </x:c>
      <x:c r="G8" s="73" t="n">
        <x:f>E8</x:f>
        <x:v>150000</x:v>
      </x:c>
      <x:c r="H8" s="28" t="str">
        <x:v>Endura planning allowance</x:v>
      </x:c>
      <x:c r="I8" s="28" t="str">
        <x:v>GGC technical precedent only</x:v>
      </x:c>
      <x:c r="J8" s="28" t="str">
        <x:v>Low</x:v>
      </x:c>
      <x:c r="K8" s="28" t="str">
        <x:v>Yes</x:v>
      </x:c>
    </x:row>
    <x:row r="9">
      <x:c r="A9" s="28" t="str">
        <x:v>R05</x:v>
      </x:c>
      <x:c r="B9" s="28" t="str">
        <x:v>Traversing decks</x:v>
      </x:c>
      <x:c r="C9" s="28" t="str">
        <x:v>set</x:v>
      </x:c>
      <x:c r="D9" s="46" t="n">
        <x:v>60000</x:v>
      </x:c>
      <x:c r="E9" s="46" t="n">
        <x:v>100000</x:v>
      </x:c>
      <x:c r="F9" s="46" t="n">
        <x:v>180000</x:v>
      </x:c>
      <x:c r="G9" s="73" t="n">
        <x:f>E9</x:f>
        <x:v>100000</x:v>
      </x:c>
      <x:c r="H9" s="28" t="str">
        <x:v>Endura planning allowance</x:v>
      </x:c>
      <x:c r="I9" s="28" t="str">
        <x:v>Design open</x:v>
      </x:c>
      <x:c r="J9" s="28" t="str">
        <x:v>Very low</x:v>
      </x:c>
      <x:c r="K9" s="28" t="str">
        <x:v>Yes</x:v>
      </x:c>
    </x:row>
    <x:row r="10">
      <x:c r="A10" s="28" t="str">
        <x:v>R06</x:v>
      </x:c>
      <x:c r="B10" s="28" t="str">
        <x:v>Pile half-shell containment</x:v>
      </x:c>
      <x:c r="C10" s="28" t="str">
        <x:v>set</x:v>
      </x:c>
      <x:c r="D10" s="46" t="n">
        <x:v>100000</x:v>
      </x:c>
      <x:c r="E10" s="46" t="n">
        <x:v>175000</x:v>
      </x:c>
      <x:c r="F10" s="46" t="n">
        <x:v>300000</x:v>
      </x:c>
      <x:c r="G10" s="73" t="n">
        <x:f>E10</x:f>
        <x:v>175000</x:v>
      </x:c>
      <x:c r="H10" s="28" t="str">
        <x:v>Endura planning allowance</x:v>
      </x:c>
      <x:c r="I10" s="28" t="str">
        <x:v>Supplier concept open</x:v>
      </x:c>
      <x:c r="J10" s="28" t="str">
        <x:v>Very low</x:v>
      </x:c>
      <x:c r="K10" s="28" t="str">
        <x:v>Yes</x:v>
      </x:c>
    </x:row>
    <x:row r="11">
      <x:c r="A11" s="28" t="str">
        <x:v>R07</x:v>
      </x:c>
      <x:c r="B11" s="28" t="str">
        <x:v>Headstock containment module</x:v>
      </x:c>
      <x:c r="C11" s="28" t="str">
        <x:v>module</x:v>
      </x:c>
      <x:c r="D11" s="46" t="n">
        <x:v>150000</x:v>
      </x:c>
      <x:c r="E11" s="46" t="n">
        <x:v>300000</x:v>
      </x:c>
      <x:c r="F11" s="46" t="n">
        <x:v>500000</x:v>
      </x:c>
      <x:c r="G11" s="73" t="n">
        <x:f>E11</x:f>
        <x:v>300000</x:v>
      </x:c>
      <x:c r="H11" s="28" t="str">
        <x:v>Endura planning allowance</x:v>
      </x:c>
      <x:c r="I11" s="28" t="str">
        <x:v>GGC concept/BOM, no quote</x:v>
      </x:c>
      <x:c r="J11" s="28" t="str">
        <x:v>Very low</x:v>
      </x:c>
      <x:c r="K11" s="28" t="str">
        <x:v>Yes</x:v>
      </x:c>
    </x:row>
    <x:row r="12">
      <x:c r="A12" s="28" t="str">
        <x:v>R08</x:v>
      </x:c>
      <x:c r="B12" s="28" t="str">
        <x:v>Access tower</x:v>
      </x:c>
      <x:c r="C12" s="28" t="str">
        <x:v>ea</x:v>
      </x:c>
      <x:c r="D12" s="46" t="n">
        <x:v>40000</x:v>
      </x:c>
      <x:c r="E12" s="46" t="n">
        <x:v>75000</x:v>
      </x:c>
      <x:c r="F12" s="46" t="n">
        <x:v>120000</x:v>
      </x:c>
      <x:c r="G12" s="73" t="n">
        <x:f>E12</x:f>
        <x:v>75000</x:v>
      </x:c>
      <x:c r="H12" s="28" t="str">
        <x:v>Endura planning allowance</x:v>
      </x:c>
      <x:c r="I12" s="28" t="str">
        <x:v>Design open</x:v>
      </x:c>
      <x:c r="J12" s="28" t="str">
        <x:v>Low</x:v>
      </x:c>
      <x:c r="K12" s="28" t="str">
        <x:v>Yes</x:v>
      </x:c>
    </x:row>
    <x:row r="13">
      <x:c r="A13" s="28" t="str">
        <x:v>R09</x:v>
      </x:c>
      <x:c r="B13" s="28" t="str">
        <x:v>JUB mobilisation / demobilisation</x:v>
      </x:c>
      <x:c r="C13" s="28" t="str">
        <x:v>unit</x:v>
      </x:c>
      <x:c r="D13" s="46" t="n">
        <x:v>400000</x:v>
      </x:c>
      <x:c r="E13" s="46" t="n">
        <x:v>800000</x:v>
      </x:c>
      <x:c r="F13" s="46" t="n">
        <x:v>1500000</x:v>
      </x:c>
      <x:c r="G13" s="73" t="n">
        <x:f>E13</x:f>
        <x:v>800000</x:v>
      </x:c>
      <x:c r="H13" s="28" t="str">
        <x:v>Endura planning allowance</x:v>
      </x:c>
      <x:c r="I13" s="28" t="str">
        <x:v>No written quote</x:v>
      </x:c>
      <x:c r="J13" s="28" t="str">
        <x:v>Very low</x:v>
      </x:c>
      <x:c r="K13" s="28" t="str">
        <x:v>Yes</x:v>
      </x:c>
    </x:row>
    <x:row r="14">
      <x:c r="A14" s="28" t="str">
        <x:v>R10</x:v>
      </x:c>
      <x:c r="B14" s="28" t="str">
        <x:v>JUB operating rate</x:v>
      </x:c>
      <x:c r="C14" s="28" t="str">
        <x:v>unit-day</x:v>
      </x:c>
      <x:c r="D14" s="46" t="n">
        <x:v>15000</x:v>
      </x:c>
      <x:c r="E14" s="46" t="n">
        <x:v>25000</x:v>
      </x:c>
      <x:c r="F14" s="46" t="n">
        <x:v>40000</x:v>
      </x:c>
      <x:c r="G14" s="73" t="n">
        <x:f>E14</x:f>
        <x:v>25000</x:v>
      </x:c>
      <x:c r="H14" s="28" t="str">
        <x:v>Endura planning allowance</x:v>
      </x:c>
      <x:c r="I14" s="28" t="str">
        <x:v>No written quote</x:v>
      </x:c>
      <x:c r="J14" s="28" t="str">
        <x:v>Very low</x:v>
      </x:c>
      <x:c r="K14" s="28" t="str">
        <x:v>Yes</x:v>
      </x:c>
    </x:row>
    <x:row r="15">
      <x:c r="A15" s="28" t="str">
        <x:v>R11</x:v>
      </x:c>
      <x:c r="B15" s="28" t="str">
        <x:v>Workboat operating rate</x:v>
      </x:c>
      <x:c r="C15" s="28" t="str">
        <x:v>boat-day</x:v>
      </x:c>
      <x:c r="D15" s="46" t="n">
        <x:v>2500</x:v>
      </x:c>
      <x:c r="E15" s="46" t="n">
        <x:v>4000</x:v>
      </x:c>
      <x:c r="F15" s="46" t="n">
        <x:v>6000</x:v>
      </x:c>
      <x:c r="G15" s="73" t="n">
        <x:f>E15</x:f>
        <x:v>4000</x:v>
      </x:c>
      <x:c r="H15" s="28" t="str">
        <x:v>Endura planning allowance</x:v>
      </x:c>
      <x:c r="I15" s="28" t="str">
        <x:v>GGC specs only; no price</x:v>
      </x:c>
      <x:c r="J15" s="28" t="str">
        <x:v>Very low</x:v>
      </x:c>
      <x:c r="K15" s="28" t="str">
        <x:v>Yes</x:v>
      </x:c>
    </x:row>
    <x:row r="16">
      <x:c r="A16" s="28" t="str">
        <x:v>R12</x:v>
      </x:c>
      <x:c r="B16" s="28" t="str">
        <x:v>Dedicated rescue craft</x:v>
      </x:c>
      <x:c r="C16" s="28" t="str">
        <x:v>boat-day</x:v>
      </x:c>
      <x:c r="D16" s="46" t="n">
        <x:v>1500</x:v>
      </x:c>
      <x:c r="E16" s="46" t="n">
        <x:v>3000</x:v>
      </x:c>
      <x:c r="F16" s="46" t="n">
        <x:v>4500</x:v>
      </x:c>
      <x:c r="G16" s="73" t="n">
        <x:f>E16</x:f>
        <x:v>3000</x:v>
      </x:c>
      <x:c r="H16" s="28" t="str">
        <x:v>Endura planning allowance</x:v>
      </x:c>
      <x:c r="I16" s="28" t="str">
        <x:v>No written quote</x:v>
      </x:c>
      <x:c r="J16" s="28" t="str">
        <x:v>Very low</x:v>
      </x:c>
      <x:c r="K16" s="28" t="str">
        <x:v>Yes</x:v>
      </x:c>
    </x:row>
    <x:row r="17">
      <x:c r="A17" s="28" t="str">
        <x:v>R13</x:v>
      </x:c>
      <x:c r="B17" s="28" t="str">
        <x:v>Campaign management / QA / marine coordination</x:v>
      </x:c>
      <x:c r="C17" s="28" t="str">
        <x:v>week</x:v>
      </x:c>
      <x:c r="D17" s="46" t="n">
        <x:v>30000</x:v>
      </x:c>
      <x:c r="E17" s="46" t="n">
        <x:v>45000</x:v>
      </x:c>
      <x:c r="F17" s="46" t="n">
        <x:v>70000</x:v>
      </x:c>
      <x:c r="G17" s="73" t="n">
        <x:f>E17</x:f>
        <x:v>45000</x:v>
      </x:c>
      <x:c r="H17" s="28" t="str">
        <x:v>Endura planning allowance</x:v>
      </x:c>
      <x:c r="I17" s="28" t="str">
        <x:v>Resource allowance</x:v>
      </x:c>
      <x:c r="J17" s="28" t="str">
        <x:v>Low</x:v>
      </x:c>
      <x:c r="K17" s="28" t="str">
        <x:v>Yes</x:v>
      </x:c>
    </x:row>
    <x:row r="18">
      <x:c r="A18" s="28" t="str">
        <x:v>R14</x:v>
      </x:c>
      <x:c r="B18" s="28" t="str">
        <x:v>Accommodation / travel / welfare</x:v>
      </x:c>
      <x:c r="C18" s="28" t="str">
        <x:v>week</x:v>
      </x:c>
      <x:c r="D18" s="46" t="n">
        <x:v>20000</x:v>
      </x:c>
      <x:c r="E18" s="46" t="n">
        <x:v>35000</x:v>
      </x:c>
      <x:c r="F18" s="46" t="n">
        <x:v>55000</x:v>
      </x:c>
      <x:c r="G18" s="73" t="n">
        <x:f>E18</x:f>
        <x:v>35000</x:v>
      </x:c>
      <x:c r="H18" s="28" t="str">
        <x:v>Endura planning allowance</x:v>
      </x:c>
      <x:c r="I18" s="28" t="str">
        <x:v>Occupancy and location TBC</x:v>
      </x:c>
      <x:c r="J18" s="28" t="str">
        <x:v>Low</x:v>
      </x:c>
      <x:c r="K18" s="28" t="str">
        <x:v>Yes</x:v>
      </x:c>
    </x:row>
    <x:row r="19">
      <x:c r="A19" s="28" t="str">
        <x:v>R15</x:v>
      </x:c>
      <x:c r="B19" s="28" t="str">
        <x:v>Fuel, utilities and consumables per marine cell</x:v>
      </x:c>
      <x:c r="C19" s="28" t="str">
        <x:v>cell-week</x:v>
      </x:c>
      <x:c r="D19" s="46" t="n">
        <x:v>20000</x:v>
      </x:c>
      <x:c r="E19" s="46" t="n">
        <x:v>35000</x:v>
      </x:c>
      <x:c r="F19" s="46" t="n">
        <x:v>60000</x:v>
      </x:c>
      <x:c r="G19" s="73" t="n">
        <x:f>E19</x:f>
        <x:v>35000</x:v>
      </x:c>
      <x:c r="H19" s="28" t="str">
        <x:v>Endura planning allowance</x:v>
      </x:c>
      <x:c r="I19" s="28" t="str">
        <x:v>Unit selection TBC</x:v>
      </x:c>
      <x:c r="J19" s="28" t="str">
        <x:v>Very low</x:v>
      </x:c>
      <x:c r="K19" s="28" t="str">
        <x:v>Yes</x:v>
      </x:c>
    </x:row>
    <x:row r="20">
      <x:c r="A20" s="28" t="str">
        <x:v>R16</x:v>
      </x:c>
      <x:c r="B20" s="28" t="str">
        <x:v>Platform maintenance / inspection</x:v>
      </x:c>
      <x:c r="C20" s="28" t="str">
        <x:v>set-week</x:v>
      </x:c>
      <x:c r="D20" s="46" t="n">
        <x:v>1000</x:v>
      </x:c>
      <x:c r="E20" s="46" t="n">
        <x:v>2000</x:v>
      </x:c>
      <x:c r="F20" s="46" t="n">
        <x:v>4000</x:v>
      </x:c>
      <x:c r="G20" s="73" t="n">
        <x:f>E20</x:f>
        <x:v>2000</x:v>
      </x:c>
      <x:c r="H20" s="28" t="str">
        <x:v>Endura planning allowance</x:v>
      </x:c>
      <x:c r="I20" s="28" t="str">
        <x:v>No supplier quote</x:v>
      </x:c>
      <x:c r="J20" s="28" t="str">
        <x:v>Low</x:v>
      </x:c>
      <x:c r="K20" s="28" t="str">
        <x:v>Yes</x:v>
      </x:c>
    </x:row>
    <x:row r="21">
      <x:c r="A21" s="28" t="str">
        <x:v>R17</x:v>
      </x:c>
      <x:c r="B21" s="28" t="str">
        <x:v>Waste handling and sealed disposal</x:v>
      </x:c>
      <x:c r="C21" s="28" t="str">
        <x:v>bent</x:v>
      </x:c>
      <x:c r="D21" s="46" t="n">
        <x:v>1000</x:v>
      </x:c>
      <x:c r="E21" s="46" t="n">
        <x:v>2000</x:v>
      </x:c>
      <x:c r="F21" s="46" t="n">
        <x:v>3500</x:v>
      </x:c>
      <x:c r="G21" s="73" t="n">
        <x:f>E21</x:f>
        <x:v>2000</x:v>
      </x:c>
      <x:c r="H21" s="28" t="str">
        <x:v>Endura planning allowance</x:v>
      </x:c>
      <x:c r="I21" s="28" t="str">
        <x:v>Mass balance TBC</x:v>
      </x:c>
      <x:c r="J21" s="28" t="str">
        <x:v>Low</x:v>
      </x:c>
      <x:c r="K21" s="28" t="str">
        <x:v>Yes</x:v>
      </x:c>
    </x:row>
    <x:row r="22">
      <x:c r="A22" s="28" t="str">
        <x:v>R18</x:v>
      </x:c>
      <x:c r="B22" s="28" t="str">
        <x:v>Typical inspect / UT</x:v>
      </x:c>
      <x:c r="C22" s="28" t="str">
        <x:v>bent</x:v>
      </x:c>
      <x:c r="D22" s="46" t="n">
        <x:v>3012.75</x:v>
      </x:c>
      <x:c r="E22" s="46" t="n">
        <x:v>3103.4</x:v>
      </x:c>
      <x:c r="F22" s="46" t="n">
        <x:v>3196.09</x:v>
      </x:c>
      <x:c r="G22" s="73" t="n">
        <x:f>E22</x:f>
        <x:v>3103.4</x:v>
      </x:c>
      <x:c r="H22" s="28" t="str">
        <x:v>Contract rate proxy</x:v>
      </x:c>
      <x:c r="I22" s="28" t="str">
        <x:v>Annexure F</x:v>
      </x:c>
      <x:c r="J22" s="28" t="str">
        <x:v>Medium</x:v>
      </x:c>
      <x:c r="K22" s="28" t="str">
        <x:v>Yes</x:v>
      </x:c>
    </x:row>
    <x:row r="23">
      <x:c r="A23" s="28" t="str">
        <x:v>R19</x:v>
      </x:c>
      <x:c r="B23" s="28" t="str">
        <x:v>Typical blast and coat</x:v>
      </x:c>
      <x:c r="C23" s="28" t="str">
        <x:v>bent</x:v>
      </x:c>
      <x:c r="D23" s="46" t="n">
        <x:v>27561.77</x:v>
      </x:c>
      <x:c r="E23" s="46" t="n">
        <x:v>28388.62</x:v>
      </x:c>
      <x:c r="F23" s="46" t="n">
        <x:v>29240.28</x:v>
      </x:c>
      <x:c r="G23" s="73" t="n">
        <x:f>E23</x:f>
        <x:v>28388.62</x:v>
      </x:c>
      <x:c r="H23" s="28" t="str">
        <x:v>Contract rate proxy</x:v>
      </x:c>
      <x:c r="I23" s="28" t="str">
        <x:v>Annexure F</x:v>
      </x:c>
      <x:c r="J23" s="28" t="str">
        <x:v>Medium</x:v>
      </x:c>
      <x:c r="K23" s="28" t="str">
        <x:v>Yes</x:v>
      </x:c>
    </x:row>
    <x:row r="24">
      <x:c r="A24" s="28" t="str">
        <x:v>R20</x:v>
      </x:c>
      <x:c r="B24" s="28" t="str">
        <x:v>Denso jacket 850/920 x 4.8 m</x:v>
      </x:c>
      <x:c r="C24" s="28" t="str">
        <x:v>pile</x:v>
      </x:c>
      <x:c r="D24" s="46" t="n">
        <x:v>5746.65</x:v>
      </x:c>
      <x:c r="E24" s="46" t="n">
        <x:v>5779.2</x:v>
      </x:c>
      <x:c r="F24" s="46" t="n">
        <x:v>5811.75</x:v>
      </x:c>
      <x:c r="G24" s="73" t="n">
        <x:f>E24</x:f>
        <x:v>5779.2</x:v>
      </x:c>
      <x:c r="H24" s="28" t="str">
        <x:v>Contract rate proxy</x:v>
      </x:c>
      <x:c r="I24" s="28" t="str">
        <x:v>Annexure F</x:v>
      </x:c>
      <x:c r="J24" s="28" t="str">
        <x:v>Medium</x:v>
      </x:c>
      <x:c r="K24" s="28" t="str">
        <x:v>Yes</x:v>
      </x:c>
    </x:row>
    <x:row r="25">
      <x:c r="A25" s="28" t="str">
        <x:v>R21</x:v>
      </x:c>
      <x:c r="B25" s="28" t="str">
        <x:v>Weld prep and weld 8 mm proxy</x:v>
      </x:c>
      <x:c r="C25" s="28" t="str">
        <x:v>lm</x:v>
      </x:c>
      <x:c r="D25" s="46" t="n">
        <x:v>248.52</x:v>
      </x:c>
      <x:c r="E25" s="46" t="n">
        <x:v>255.97</x:v>
      </x:c>
      <x:c r="F25" s="46" t="n">
        <x:v>263.65</x:v>
      </x:c>
      <x:c r="G25" s="73" t="n">
        <x:f>E25</x:f>
        <x:v>255.97</x:v>
      </x:c>
      <x:c r="H25" s="28" t="str">
        <x:v>Contract rate proxy</x:v>
      </x:c>
      <x:c r="I25" s="28" t="str">
        <x:v>Annexure F</x:v>
      </x:c>
      <x:c r="J25" s="28" t="str">
        <x:v>Low for 10 mm actuals</x:v>
      </x:c>
      <x:c r="K25" s="28" t="str">
        <x:v>Yes</x:v>
      </x:c>
    </x:row>
    <x:row r="28">
      <x:c r="A28" s="34" t="str">
        <x:v>COMMERCIAL LIMITATION: No written GGC monetary quote was identified in the organised source folder reviewed. The GGC sources support geometry, weight, hoist precedent and workboat particulars, not committed price. R01-R17 are Endura planning allowances for sensitivity only and must be replaced before a procurement or board cost commitment.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</x:row>
  </x:sheetData>
  <x:mergeCells>
    <x:mergeCell ref="A1:K1"/>
    <x:mergeCell ref="A2:K2"/>
    <x:mergeCell ref="A28:K31"/>
  </x:mergeCells>
  <x:dataValidations count="1">
    <x:dataValidation type="list" sqref="K5:K25">
      <x:formula1>"Yes,No"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4" hidden="0" customWidth="1"/>
    <x:col min="9" max="9" width="18" hidden="0" customWidth="1"/>
    <x:col min="10" max="10" width="18" hidden="0" customWidth="1"/>
    <x:col min="11" max="11" width="12" hidden="0" customWidth="1"/>
    <x:col min="12" max="12" width="42" hidden="0" customWidth="1"/>
  </x:cols>
  <x:sheetData>
    <x:row r="1" ht="30" customHeight="1">
      <x:c r="A1" s="5" t="str">
        <x:v>Indicative Whole-Campaign Cost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Separates common remediation trade cost from access/marine method cost. Planning allowances are not supplier quotes.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0" t="str">
        <x:v>Cost group</x:v>
      </x:c>
      <x:c r="B4" s="20" t="str">
        <x:v>Line item</x:v>
      </x:c>
      <x:c r="C4" s="20" t="str">
        <x:v>Unit</x:v>
      </x:c>
      <x:c r="D4" s="20" t="str">
        <x:v>Quantity</x:v>
      </x:c>
      <x:c r="E4" s="20" t="str">
        <x:v>Selected rate</x:v>
      </x:c>
      <x:c r="F4" s="20" t="str">
        <x:v>Amount</x:v>
      </x:c>
      <x:c r="G4" s="20" t="str">
        <x:v>Basis</x:v>
      </x:c>
      <x:c r="H4" s="20" t="str">
        <x:v>Confidence</x:v>
      </x:c>
      <x:c r="I4" s="20" t="str">
        <x:v>Current comparator</x:v>
      </x:c>
      <x:c r="J4" s="20" t="str">
        <x:v>Difference</x:v>
      </x:c>
      <x:c r="K4" s="20" t="str">
        <x:v>Include</x:v>
      </x:c>
      <x:c r="L4" s="20" t="str">
        <x:v>Comment</x:v>
      </x:c>
    </x:row>
    <x:row r="5">
      <x:c r="A5" s="28" t="str">
        <x:v>One-off</x:v>
      </x:c>
      <x:c r="B5" s="28" t="str">
        <x:v>Engineering / temporary works / prototype</x:v>
      </x:c>
      <x:c r="C5" s="28" t="str">
        <x:v>LS</x:v>
      </x:c>
      <x:c r="D5" s="44" t="n">
        <x:v>1</x:v>
      </x:c>
      <x:c r="E5" s="46" t="n">
        <x:f>'13 Rate Register'!G5</x:f>
        <x:v>900000</x:v>
      </x:c>
      <x:c r="F5" s="46" t="n">
        <x:f>D5*E5</x:f>
        <x:v>900000</x:v>
      </x:c>
      <x:c r="G5" s="28" t="str">
        <x:v>Planning allowance</x:v>
      </x:c>
      <x:c r="H5" s="28" t="str">
        <x:v>Low</x:v>
      </x:c>
      <x:c r="I5" s="46" t="n">
        <x:v>0</x:v>
      </x:c>
      <x:c r="J5" s="46" t="n">
        <x:f>F5-I5</x:f>
        <x:v>900000</x:v>
      </x:c>
      <x:c r="K5" s="28" t="str">
        <x:v>Yes</x:v>
      </x:c>
      <x:c r="L5" s="28" t="str"/>
    </x:row>
    <x:row r="6">
      <x:c r="A6" s="28" t="str">
        <x:v>One-off</x:v>
      </x:c>
      <x:c r="B6" s="28" t="str">
        <x:v>Two-set proving mobilisation and test</x:v>
      </x:c>
      <x:c r="C6" s="28" t="str">
        <x:v>LS</x:v>
      </x:c>
      <x:c r="D6" s="44" t="n">
        <x:v>1</x:v>
      </x:c>
      <x:c r="E6" s="46" t="n">
        <x:f>'13 Rate Register'!G6</x:f>
        <x:v>600000</x:v>
      </x:c>
      <x:c r="F6" s="46" t="n">
        <x:f>D6*E6</x:f>
        <x:v>600000</x:v>
      </x:c>
      <x:c r="G6" s="28" t="str">
        <x:v>Planning allowance</x:v>
      </x:c>
      <x:c r="H6" s="28" t="str">
        <x:v>Low</x:v>
      </x:c>
      <x:c r="I6" s="46" t="n">
        <x:v>0</x:v>
      </x:c>
      <x:c r="J6" s="46" t="n">
        <x:f>F6-I6</x:f>
        <x:v>600000</x:v>
      </x:c>
      <x:c r="K6" s="28" t="str">
        <x:v>Yes</x:v>
      </x:c>
      <x:c r="L6" s="28" t="str"/>
    </x:row>
    <x:row r="7">
      <x:c r="A7" s="28" t="str">
        <x:v>Capital</x:v>
      </x:c>
      <x:c r="B7" s="28" t="str">
        <x:v>Floating access sets</x:v>
      </x:c>
      <x:c r="C7" s="28" t="str">
        <x:v>set</x:v>
      </x:c>
      <x:c r="D7" s="44" t="n">
        <x:f>'03 Assumptions'!C17</x:f>
        <x:v>11</x:v>
      </x:c>
      <x:c r="E7" s="46" t="n">
        <x:f>'13 Rate Register'!G7</x:f>
        <x:v>450000</x:v>
      </x:c>
      <x:c r="F7" s="46" t="n">
        <x:f>D7*E7</x:f>
        <x:v>4950000</x:v>
      </x:c>
      <x:c r="G7" s="28" t="str">
        <x:v>Planning allowance</x:v>
      </x:c>
      <x:c r="H7" s="28" t="str">
        <x:v>Low</x:v>
      </x:c>
      <x:c r="I7" s="46" t="n">
        <x:v>0</x:v>
      </x:c>
      <x:c r="J7" s="46" t="n">
        <x:f>F7-I7</x:f>
        <x:v>4950000</x:v>
      </x:c>
      <x:c r="K7" s="28" t="str">
        <x:v>Yes</x:v>
      </x:c>
      <x:c r="L7" s="28" t="str"/>
    </x:row>
    <x:row r="8">
      <x:c r="A8" s="28" t="str">
        <x:v>Capital</x:v>
      </x:c>
      <x:c r="B8" s="28" t="str">
        <x:v>Hoists / sliding clamps / restraints</x:v>
      </x:c>
      <x:c r="C8" s="28" t="str">
        <x:v>set</x:v>
      </x:c>
      <x:c r="D8" s="44" t="n">
        <x:f>'03 Assumptions'!C17</x:f>
        <x:v>11</x:v>
      </x:c>
      <x:c r="E8" s="46" t="n">
        <x:f>'13 Rate Register'!G8</x:f>
        <x:v>150000</x:v>
      </x:c>
      <x:c r="F8" s="46" t="n">
        <x:f>D8*E8</x:f>
        <x:v>1650000</x:v>
      </x:c>
      <x:c r="G8" s="28" t="str">
        <x:v>Planning allowance</x:v>
      </x:c>
      <x:c r="H8" s="28" t="str">
        <x:v>Low</x:v>
      </x:c>
      <x:c r="I8" s="46" t="n">
        <x:v>0</x:v>
      </x:c>
      <x:c r="J8" s="46" t="n">
        <x:f>F8-I8</x:f>
        <x:v>1650000</x:v>
      </x:c>
      <x:c r="K8" s="28" t="str">
        <x:v>Yes</x:v>
      </x:c>
      <x:c r="L8" s="28" t="str"/>
    </x:row>
    <x:row r="9">
      <x:c r="A9" s="28" t="str">
        <x:v>Capital</x:v>
      </x:c>
      <x:c r="B9" s="28" t="str">
        <x:v>Traversing decks</x:v>
      </x:c>
      <x:c r="C9" s="28" t="str">
        <x:v>set</x:v>
      </x:c>
      <x:c r="D9" s="44" t="n">
        <x:f>'03 Assumptions'!C17</x:f>
        <x:v>11</x:v>
      </x:c>
      <x:c r="E9" s="46" t="n">
        <x:f>'13 Rate Register'!G9</x:f>
        <x:v>100000</x:v>
      </x:c>
      <x:c r="F9" s="46" t="n">
        <x:f>D9*E9</x:f>
        <x:v>1100000</x:v>
      </x:c>
      <x:c r="G9" s="28" t="str">
        <x:v>Planning allowance</x:v>
      </x:c>
      <x:c r="H9" s="28" t="str">
        <x:v>Very low</x:v>
      </x:c>
      <x:c r="I9" s="46" t="n">
        <x:v>0</x:v>
      </x:c>
      <x:c r="J9" s="46" t="n">
        <x:f>F9-I9</x:f>
        <x:v>1100000</x:v>
      </x:c>
      <x:c r="K9" s="28" t="str">
        <x:v>Yes</x:v>
      </x:c>
      <x:c r="L9" s="28" t="str"/>
    </x:row>
    <x:row r="10">
      <x:c r="A10" s="28" t="str">
        <x:v>Capital</x:v>
      </x:c>
      <x:c r="B10" s="28" t="str">
        <x:v>Pile half-shell containment</x:v>
      </x:c>
      <x:c r="C10" s="28" t="str">
        <x:v>set</x:v>
      </x:c>
      <x:c r="D10" s="44" t="n">
        <x:f>'03 Assumptions'!C17</x:f>
        <x:v>11</x:v>
      </x:c>
      <x:c r="E10" s="46" t="n">
        <x:f>'13 Rate Register'!G10</x:f>
        <x:v>175000</x:v>
      </x:c>
      <x:c r="F10" s="46" t="n">
        <x:f>D10*E10</x:f>
        <x:v>1925000</x:v>
      </x:c>
      <x:c r="G10" s="28" t="str">
        <x:v>Planning allowance</x:v>
      </x:c>
      <x:c r="H10" s="28" t="str">
        <x:v>Very low</x:v>
      </x:c>
      <x:c r="I10" s="46" t="n">
        <x:v>0</x:v>
      </x:c>
      <x:c r="J10" s="46" t="n">
        <x:f>F10-I10</x:f>
        <x:v>1925000</x:v>
      </x:c>
      <x:c r="K10" s="28" t="str">
        <x:v>Yes</x:v>
      </x:c>
      <x:c r="L10" s="28" t="str"/>
    </x:row>
    <x:row r="11">
      <x:c r="A11" s="28" t="str">
        <x:v>Capital</x:v>
      </x:c>
      <x:c r="B11" s="28" t="str">
        <x:v>Headstock containment modules</x:v>
      </x:c>
      <x:c r="C11" s="28" t="str">
        <x:v>module</x:v>
      </x:c>
      <x:c r="D11" s="44" t="n">
        <x:f>ROUNDUP('03 Assumptions'!C17/2,0)</x:f>
        <x:v>6</x:v>
      </x:c>
      <x:c r="E11" s="46" t="n">
        <x:f>'13 Rate Register'!G11</x:f>
        <x:v>300000</x:v>
      </x:c>
      <x:c r="F11" s="46" t="n">
        <x:f>D11*E11</x:f>
        <x:v>1800000</x:v>
      </x:c>
      <x:c r="G11" s="28" t="str">
        <x:v>Planning allowance</x:v>
      </x:c>
      <x:c r="H11" s="28" t="str">
        <x:v>Very low</x:v>
      </x:c>
      <x:c r="I11" s="46" t="n">
        <x:v>0</x:v>
      </x:c>
      <x:c r="J11" s="46" t="n">
        <x:f>F11-I11</x:f>
        <x:v>1800000</x:v>
      </x:c>
      <x:c r="K11" s="28" t="str">
        <x:v>Yes</x:v>
      </x:c>
      <x:c r="L11" s="28" t="str">
        <x:v>One per leapfrog pair assumed</x:v>
      </x:c>
    </x:row>
    <x:row r="12">
      <x:c r="A12" s="28" t="str">
        <x:v>Capital</x:v>
      </x:c>
      <x:c r="B12" s="28" t="str">
        <x:v>Access towers</x:v>
      </x:c>
      <x:c r="C12" s="28" t="str">
        <x:v>ea</x:v>
      </x:c>
      <x:c r="D12" s="44" t="n">
        <x:f>'03 Assumptions'!C17</x:f>
        <x:v>11</x:v>
      </x:c>
      <x:c r="E12" s="46" t="n">
        <x:f>'13 Rate Register'!G12</x:f>
        <x:v>75000</x:v>
      </x:c>
      <x:c r="F12" s="46" t="n">
        <x:f>D12*E12</x:f>
        <x:v>825000</x:v>
      </x:c>
      <x:c r="G12" s="28" t="str">
        <x:v>Planning allowance</x:v>
      </x:c>
      <x:c r="H12" s="28" t="str">
        <x:v>Low</x:v>
      </x:c>
      <x:c r="I12" s="46" t="n">
        <x:v>0</x:v>
      </x:c>
      <x:c r="J12" s="46" t="n">
        <x:f>F12-I12</x:f>
        <x:v>825000</x:v>
      </x:c>
      <x:c r="K12" s="28" t="str">
        <x:v>Yes</x:v>
      </x:c>
      <x:c r="L12" s="28" t="str"/>
    </x:row>
    <x:row r="13">
      <x:c r="A13" s="28" t="str">
        <x:v>Marine mob</x:v>
      </x:c>
      <x:c r="B13" s="28" t="str">
        <x:v>Initial JUB mobilisation / demobilisation</x:v>
      </x:c>
      <x:c r="C13" s="28" t="str">
        <x:v>unit</x:v>
      </x:c>
      <x:c r="D13" s="44" t="n">
        <x:f>'12 Marine Logistics'!B16</x:f>
        <x:v>3</x:v>
      </x:c>
      <x:c r="E13" s="46" t="n">
        <x:f>'13 Rate Register'!G13</x:f>
        <x:v>800000</x:v>
      </x:c>
      <x:c r="F13" s="46" t="n">
        <x:f>D13*E13</x:f>
        <x:v>2400000</x:v>
      </x:c>
      <x:c r="G13" s="28" t="str">
        <x:v>Planning allowance</x:v>
      </x:c>
      <x:c r="H13" s="28" t="str">
        <x:v>Very low</x:v>
      </x:c>
      <x:c r="I13" s="46" t="n">
        <x:v>0</x:v>
      </x:c>
      <x:c r="J13" s="46" t="n">
        <x:f>F13-I13</x:f>
        <x:v>2400000</x:v>
      </x:c>
      <x:c r="K13" s="28" t="str">
        <x:v>Yes</x:v>
      </x:c>
      <x:c r="L13" s="28" t="str"/>
    </x:row>
    <x:row r="14">
      <x:c r="A14" s="28" t="str">
        <x:v>Marine mob</x:v>
      </x:c>
      <x:c r="B14" s="28" t="str">
        <x:v>Seasonal JUB demob / remob</x:v>
      </x:c>
      <x:c r="C14" s="28" t="str">
        <x:v>unit-event</x:v>
      </x:c>
      <x:c r="D14" s="44" t="n">
        <x:f>'12 Marine Logistics'!B16*('03 Assumptions'!C7-1)</x:f>
        <x:v>3</x:v>
      </x:c>
      <x:c r="E14" s="46" t="n">
        <x:f>'13 Rate Register'!G13</x:f>
        <x:v>800000</x:v>
      </x:c>
      <x:c r="F14" s="46" t="n">
        <x:f>D14*E14</x:f>
        <x:v>2400000</x:v>
      </x:c>
      <x:c r="G14" s="28" t="str">
        <x:v>Planning allowance</x:v>
      </x:c>
      <x:c r="H14" s="28" t="str">
        <x:v>Very low</x:v>
      </x:c>
      <x:c r="I14" s="46" t="n">
        <x:v>0</x:v>
      </x:c>
      <x:c r="J14" s="46" t="n">
        <x:f>F14-I14</x:f>
        <x:v>2400000</x:v>
      </x:c>
      <x:c r="K14" s="28" t="str">
        <x:v>Yes</x:v>
      </x:c>
      <x:c r="L14" s="28" t="str">
        <x:v>One inter-season cycle</x:v>
      </x:c>
    </x:row>
    <x:row r="15">
      <x:c r="A15" s="28" t="str">
        <x:v>Marine operating</x:v>
      </x:c>
      <x:c r="B15" s="28" t="str">
        <x:v>JUB hire</x:v>
      </x:c>
      <x:c r="C15" s="28" t="str">
        <x:v>unit-day</x:v>
      </x:c>
      <x:c r="D15" s="44" t="n">
        <x:f>'12 Marine Logistics'!B16*$D$34*'03 Assumptions'!C9</x:f>
        <x:v>1008.2077540106955</x:v>
      </x:c>
      <x:c r="E15" s="46" t="n">
        <x:f>'13 Rate Register'!G14</x:f>
        <x:v>25000</x:v>
      </x:c>
      <x:c r="F15" s="46" t="n">
        <x:f>D15*E15</x:f>
        <x:v>25205193.850267388</x:v>
      </x:c>
      <x:c r="G15" s="28" t="str">
        <x:v>Planning allowance</x:v>
      </x:c>
      <x:c r="H15" s="28" t="str">
        <x:v>Very low</x:v>
      </x:c>
      <x:c r="I15" s="46" t="n">
        <x:v>0</x:v>
      </x:c>
      <x:c r="J15" s="46" t="n">
        <x:f>F15-I15</x:f>
        <x:v>25205193.850267388</x:v>
      </x:c>
      <x:c r="K15" s="28" t="str">
        <x:v>Yes</x:v>
      </x:c>
      <x:c r="L15" s="28" t="str">
        <x:v>Multiple marine cells are the dominant cost risk</x:v>
      </x:c>
    </x:row>
    <x:row r="16">
      <x:c r="A16" s="28" t="str">
        <x:v>Marine operating</x:v>
      </x:c>
      <x:c r="B16" s="28" t="str">
        <x:v>Workboats</x:v>
      </x:c>
      <x:c r="C16" s="28" t="str">
        <x:v>boat-day</x:v>
      </x:c>
      <x:c r="D16" s="44" t="n">
        <x:f>'12 Marine Logistics'!B17*$D$34*'03 Assumptions'!C9</x:f>
        <x:v>1008.2077540106955</x:v>
      </x:c>
      <x:c r="E16" s="46" t="n">
        <x:f>'13 Rate Register'!G15</x:f>
        <x:v>4000</x:v>
      </x:c>
      <x:c r="F16" s="46" t="n">
        <x:f>D16*E16</x:f>
        <x:v>4032831.016042782</x:v>
      </x:c>
      <x:c r="G16" s="28" t="str">
        <x:v>Planning allowance</x:v>
      </x:c>
      <x:c r="H16" s="28" t="str">
        <x:v>Very low</x:v>
      </x:c>
      <x:c r="I16" s="46" t="n">
        <x:v>0</x:v>
      </x:c>
      <x:c r="J16" s="46" t="n">
        <x:f>F16-I16</x:f>
        <x:v>4032831.016042782</x:v>
      </x:c>
      <x:c r="K16" s="28" t="str">
        <x:v>Yes</x:v>
      </x:c>
      <x:c r="L16" s="28" t="str">
        <x:v>One per cell minimum</x:v>
      </x:c>
    </x:row>
    <x:row r="17">
      <x:c r="A17" s="28" t="str">
        <x:v>Marine operating</x:v>
      </x:c>
      <x:c r="B17" s="28" t="str">
        <x:v>Dedicated rescue craft</x:v>
      </x:c>
      <x:c r="C17" s="28" t="str">
        <x:v>boat-day</x:v>
      </x:c>
      <x:c r="D17" s="44" t="n">
        <x:f>'12 Marine Logistics'!B18*$D$34*'03 Assumptions'!C9</x:f>
        <x:v>1008.2077540106955</x:v>
      </x:c>
      <x:c r="E17" s="46" t="n">
        <x:f>'13 Rate Register'!G16</x:f>
        <x:v>3000</x:v>
      </x:c>
      <x:c r="F17" s="46" t="n">
        <x:f>D17*E17</x:f>
        <x:v>3024623.2620320865</x:v>
      </x:c>
      <x:c r="G17" s="28" t="str">
        <x:v>Planning allowance</x:v>
      </x:c>
      <x:c r="H17" s="28" t="str">
        <x:v>Very low</x:v>
      </x:c>
      <x:c r="I17" s="46" t="n">
        <x:v>0</x:v>
      </x:c>
      <x:c r="J17" s="46" t="n">
        <x:f>F17-I17</x:f>
        <x:v>3024623.2620320865</x:v>
      </x:c>
      <x:c r="K17" s="28" t="str">
        <x:v>Yes</x:v>
      </x:c>
      <x:c r="L17" s="28" t="str">
        <x:v>Rescue not shared during moves</x:v>
      </x:c>
    </x:row>
    <x:row r="18">
      <x:c r="A18" s="28" t="str">
        <x:v>Campaign</x:v>
      </x:c>
      <x:c r="B18" s="28" t="str">
        <x:v>Management / QA / marine coordination</x:v>
      </x:c>
      <x:c r="C18" s="28" t="str">
        <x:v>week</x:v>
      </x:c>
      <x:c r="D18" s="44" t="n">
        <x:f>$D$34</x:f>
        <x:v>56.011541889483084</x:v>
      </x:c>
      <x:c r="E18" s="46" t="n">
        <x:f>'13 Rate Register'!G17</x:f>
        <x:v>45000</x:v>
      </x:c>
      <x:c r="F18" s="46" t="n">
        <x:f>D18*E18</x:f>
        <x:v>2520519.385026739</x:v>
      </x:c>
      <x:c r="G18" s="28" t="str">
        <x:v>Planning allowance</x:v>
      </x:c>
      <x:c r="H18" s="28" t="str">
        <x:v>Low</x:v>
      </x:c>
      <x:c r="I18" s="46" t="n">
        <x:v>0</x:v>
      </x:c>
      <x:c r="J18" s="46" t="n">
        <x:f>F18-I18</x:f>
        <x:v>2520519.385026739</x:v>
      </x:c>
      <x:c r="K18" s="28" t="str">
        <x:v>Yes</x:v>
      </x:c>
      <x:c r="L18" s="28" t="str"/>
    </x:row>
    <x:row r="19">
      <x:c r="A19" s="28" t="str">
        <x:v>Campaign</x:v>
      </x:c>
      <x:c r="B19" s="28" t="str">
        <x:v>Accommodation / travel / welfare</x:v>
      </x:c>
      <x:c r="C19" s="28" t="str">
        <x:v>week</x:v>
      </x:c>
      <x:c r="D19" s="44" t="n">
        <x:f>$D$34</x:f>
        <x:v>56.011541889483084</x:v>
      </x:c>
      <x:c r="E19" s="46" t="n">
        <x:f>'13 Rate Register'!G18</x:f>
        <x:v>35000</x:v>
      </x:c>
      <x:c r="F19" s="46" t="n">
        <x:f>D19*E19</x:f>
        <x:v>1960403.966131908</x:v>
      </x:c>
      <x:c r="G19" s="28" t="str">
        <x:v>Planning allowance</x:v>
      </x:c>
      <x:c r="H19" s="28" t="str">
        <x:v>Low</x:v>
      </x:c>
      <x:c r="I19" s="46" t="n">
        <x:v>0</x:v>
      </x:c>
      <x:c r="J19" s="46" t="n">
        <x:f>F19-I19</x:f>
        <x:v>1960403.966131908</x:v>
      </x:c>
      <x:c r="K19" s="28" t="str">
        <x:v>Yes</x:v>
      </x:c>
      <x:c r="L19" s="28" t="str"/>
    </x:row>
    <x:row r="20">
      <x:c r="A20" s="28" t="str">
        <x:v>Campaign</x:v>
      </x:c>
      <x:c r="B20" s="28" t="str">
        <x:v>Fuel / utilities / consumables</x:v>
      </x:c>
      <x:c r="C20" s="28" t="str">
        <x:v>cell-week</x:v>
      </x:c>
      <x:c r="D20" s="44" t="n">
        <x:f>'12 Marine Logistics'!B16*$D$34</x:f>
        <x:v>168.03462566844925</x:v>
      </x:c>
      <x:c r="E20" s="46" t="n">
        <x:f>'13 Rate Register'!G19</x:f>
        <x:v>35000</x:v>
      </x:c>
      <x:c r="F20" s="46" t="n">
        <x:f>D20*E20</x:f>
        <x:v>5881211.898395724</x:v>
      </x:c>
      <x:c r="G20" s="28" t="str">
        <x:v>Planning allowance</x:v>
      </x:c>
      <x:c r="H20" s="28" t="str">
        <x:v>Very low</x:v>
      </x:c>
      <x:c r="I20" s="46" t="n">
        <x:v>0</x:v>
      </x:c>
      <x:c r="J20" s="46" t="n">
        <x:f>F20-I20</x:f>
        <x:v>5881211.898395724</x:v>
      </x:c>
      <x:c r="K20" s="28" t="str">
        <x:v>Yes</x:v>
      </x:c>
      <x:c r="L20" s="28" t="str"/>
    </x:row>
    <x:row r="21">
      <x:c r="A21" s="28" t="str">
        <x:v>Campaign</x:v>
      </x:c>
      <x:c r="B21" s="28" t="str">
        <x:v>Platform maintenance / inspection</x:v>
      </x:c>
      <x:c r="C21" s="28" t="str">
        <x:v>set-week</x:v>
      </x:c>
      <x:c r="D21" s="44" t="n">
        <x:f>'03 Assumptions'!C17*$D$34</x:f>
        <x:v>616.126960784314</x:v>
      </x:c>
      <x:c r="E21" s="46" t="n">
        <x:f>'13 Rate Register'!G20</x:f>
        <x:v>2000</x:v>
      </x:c>
      <x:c r="F21" s="46" t="n">
        <x:f>D21*E21</x:f>
        <x:v>1232253.921568628</x:v>
      </x:c>
      <x:c r="G21" s="28" t="str">
        <x:v>Planning allowance</x:v>
      </x:c>
      <x:c r="H21" s="28" t="str">
        <x:v>Low</x:v>
      </x:c>
      <x:c r="I21" s="46" t="n">
        <x:v>0</x:v>
      </x:c>
      <x:c r="J21" s="46" t="n">
        <x:f>F21-I21</x:f>
        <x:v>1232253.921568628</x:v>
      </x:c>
      <x:c r="K21" s="28" t="str">
        <x:v>Yes</x:v>
      </x:c>
      <x:c r="L21" s="28" t="str"/>
    </x:row>
    <x:row r="22">
      <x:c r="A22" s="28" t="str">
        <x:v>Per bent</x:v>
      </x:c>
      <x:c r="B22" s="28" t="str">
        <x:v>Waste handling</x:v>
      </x:c>
      <x:c r="C22" s="28" t="str">
        <x:v>bent</x:v>
      </x:c>
      <x:c r="D22" s="44" t="n">
        <x:f>'03 Assumptions'!C5</x:f>
        <x:v>227</x:v>
      </x:c>
      <x:c r="E22" s="46" t="n">
        <x:f>'13 Rate Register'!G21</x:f>
        <x:v>2000</x:v>
      </x:c>
      <x:c r="F22" s="46" t="n">
        <x:f>D22*E22</x:f>
        <x:v>454000</x:v>
      </x:c>
      <x:c r="G22" s="28" t="str">
        <x:v>Planning allowance</x:v>
      </x:c>
      <x:c r="H22" s="28" t="str">
        <x:v>Low</x:v>
      </x:c>
      <x:c r="I22" s="46" t="n">
        <x:v>0</x:v>
      </x:c>
      <x:c r="J22" s="46" t="n">
        <x:f>F22-I22</x:f>
        <x:v>454000</x:v>
      </x:c>
      <x:c r="K22" s="28" t="str">
        <x:v>Yes</x:v>
      </x:c>
      <x:c r="L22" s="28" t="str"/>
    </x:row>
    <x:row r="23">
      <x:c r="A23" s="28" t="str">
        <x:v>Common trade</x:v>
      </x:c>
      <x:c r="B23" s="28" t="str">
        <x:v>Inspect / UT</x:v>
      </x:c>
      <x:c r="C23" s="28" t="str">
        <x:v>bent</x:v>
      </x:c>
      <x:c r="D23" s="44" t="n">
        <x:f>'03 Assumptions'!C5</x:f>
        <x:v>227</x:v>
      </x:c>
      <x:c r="E23" s="46" t="n">
        <x:f>'13 Rate Register'!G22</x:f>
        <x:v>3103.4</x:v>
      </x:c>
      <x:c r="F23" s="46" t="n">
        <x:f>D23*E23</x:f>
        <x:v>704471.8</x:v>
      </x:c>
      <x:c r="G23" s="28" t="str">
        <x:v>Contract rate proxy</x:v>
      </x:c>
      <x:c r="H23" s="28" t="str">
        <x:v>Medium</x:v>
      </x:c>
      <x:c r="I23" s="46" t="n">
        <x:f>F23</x:f>
        <x:v>704471.8</x:v>
      </x:c>
      <x:c r="J23" s="46" t="n">
        <x:f>F23-I23</x:f>
        <x:v>0</x:v>
      </x:c>
      <x:c r="K23" s="28" t="str">
        <x:v>Yes</x:v>
      </x:c>
      <x:c r="L23" s="28" t="str">
        <x:v>Common to both methods</x:v>
      </x:c>
    </x:row>
    <x:row r="24">
      <x:c r="A24" s="28" t="str">
        <x:v>Common trade</x:v>
      </x:c>
      <x:c r="B24" s="28" t="str">
        <x:v>Blast / coat</x:v>
      </x:c>
      <x:c r="C24" s="28" t="str">
        <x:v>bent</x:v>
      </x:c>
      <x:c r="D24" s="44" t="n">
        <x:f>'03 Assumptions'!C5</x:f>
        <x:v>227</x:v>
      </x:c>
      <x:c r="E24" s="46" t="n">
        <x:f>'13 Rate Register'!G23</x:f>
        <x:v>28388.62</x:v>
      </x:c>
      <x:c r="F24" s="46" t="n">
        <x:f>D24*E24</x:f>
        <x:v>6444216.74</x:v>
      </x:c>
      <x:c r="G24" s="28" t="str">
        <x:v>Contract rate proxy</x:v>
      </x:c>
      <x:c r="H24" s="28" t="str">
        <x:v>Medium</x:v>
      </x:c>
      <x:c r="I24" s="46" t="n">
        <x:f>F24</x:f>
        <x:v>6444216.74</x:v>
      </x:c>
      <x:c r="J24" s="46" t="n">
        <x:f>F24-I24</x:f>
        <x:v>0</x:v>
      </x:c>
      <x:c r="K24" s="28" t="str">
        <x:v>Yes</x:v>
      </x:c>
      <x:c r="L24" s="28" t="str">
        <x:v>May include current access overhead</x:v>
      </x:c>
    </x:row>
    <x:row r="25">
      <x:c r="A25" s="28" t="str">
        <x:v>Common trade</x:v>
      </x:c>
      <x:c r="B25" s="28" t="str">
        <x:v>Denso, two piles</x:v>
      </x:c>
      <x:c r="C25" s="28" t="str">
        <x:v>pile</x:v>
      </x:c>
      <x:c r="D25" s="44" t="n">
        <x:f>'03 Assumptions'!C5*2</x:f>
        <x:v>454</x:v>
      </x:c>
      <x:c r="E25" s="46" t="n">
        <x:f>'13 Rate Register'!G24</x:f>
        <x:v>5779.2</x:v>
      </x:c>
      <x:c r="F25" s="46" t="n">
        <x:f>D25*E25</x:f>
        <x:v>2623756.8</x:v>
      </x:c>
      <x:c r="G25" s="28" t="str">
        <x:v>Contract rate proxy</x:v>
      </x:c>
      <x:c r="H25" s="28" t="str">
        <x:v>Medium</x:v>
      </x:c>
      <x:c r="I25" s="46" t="n">
        <x:f>F25</x:f>
        <x:v>2623756.8</x:v>
      </x:c>
      <x:c r="J25" s="46" t="n">
        <x:f>F25-I25</x:f>
        <x:v>0</x:v>
      </x:c>
      <x:c r="K25" s="28" t="str">
        <x:v>Yes</x:v>
      </x:c>
      <x:c r="L25" s="28" t="str"/>
    </x:row>
    <x:row r="26">
      <x:c r="A26" s="28" t="str">
        <x:v>Common trade</x:v>
      </x:c>
      <x:c r="B26" s="28" t="str">
        <x:v>Weld prep / weld proxy</x:v>
      </x:c>
      <x:c r="C26" s="28" t="str">
        <x:v>lm</x:v>
      </x:c>
      <x:c r="D26" s="44" t="n">
        <x:f>'03 Assumptions'!C5*'03 Assumptions'!C13</x:f>
        <x:v>11931.12</x:v>
      </x:c>
      <x:c r="E26" s="46" t="n">
        <x:f>'13 Rate Register'!G25</x:f>
        <x:v>255.97</x:v>
      </x:c>
      <x:c r="F26" s="46" t="n">
        <x:f>D26*E26</x:f>
        <x:v>3054008.7864</x:v>
      </x:c>
      <x:c r="G26" s="28" t="str">
        <x:v>8 mm contract proxy</x:v>
      </x:c>
      <x:c r="H26" s="28" t="str">
        <x:v>Low</x:v>
      </x:c>
      <x:c r="I26" s="46" t="n">
        <x:f>F26</x:f>
        <x:v>3054008.7864</x:v>
      </x:c>
      <x:c r="J26" s="46" t="n">
        <x:f>F26-I26</x:f>
        <x:v>0</x:v>
      </x:c>
      <x:c r="K26" s="28" t="str">
        <x:v>Yes</x:v>
      </x:c>
      <x:c r="L26" s="28" t="str">
        <x:v>10 mm variation rate not supplied</x:v>
      </x:c>
    </x:row>
    <x:row r="27">
      <x:c r="A27" s="50" t="str">
        <x:v>SUBTOTAL ACCESS / MARINE</x:v>
      </x:c>
      <x:c r="B27" s="50" t="str"/>
      <x:c r="C27" s="50" t="str"/>
      <x:c r="D27" s="61" t="str"/>
      <x:c r="E27" s="51" t="str"/>
      <x:c r="F27" s="51" t="n">
        <x:f>SUM(F5:F22)</x:f>
        <x:v>62861037.299465254</x:v>
      </x:c>
      <x:c r="G27" s="50" t="str"/>
      <x:c r="H27" s="50" t="str"/>
      <x:c r="I27" s="51" t="str"/>
      <x:c r="J27" s="51" t="str"/>
      <x:c r="K27" s="50" t="str"/>
      <x:c r="L27" s="50" t="str"/>
    </x:row>
    <x:row r="28">
      <x:c r="A28" s="50" t="str">
        <x:v>SUBTOTAL COMMON TRADE</x:v>
      </x:c>
      <x:c r="B28" s="50" t="str"/>
      <x:c r="C28" s="50" t="str"/>
      <x:c r="D28" s="61" t="str"/>
      <x:c r="E28" s="51" t="str"/>
      <x:c r="F28" s="51" t="n">
        <x:f>SUM(F23:F26)</x:f>
        <x:v>12826454.1264</x:v>
      </x:c>
      <x:c r="G28" s="50" t="str"/>
      <x:c r="H28" s="50" t="str"/>
      <x:c r="I28" s="51" t="n">
        <x:f>SUM(I23:I26)</x:f>
        <x:v>12826454.1264</x:v>
      </x:c>
      <x:c r="J28" s="51" t="n">
        <x:f>F28-I28</x:f>
        <x:v>0</x:v>
      </x:c>
      <x:c r="K28" s="50" t="str"/>
      <x:c r="L28" s="50" t="str"/>
    </x:row>
    <x:row r="29">
      <x:c r="A29" s="50" t="str">
        <x:v>CONTINGENCY ON ACCESS / MARINE</x:v>
      </x:c>
      <x:c r="B29" s="50" t="str">
        <x:v>20% of unquoted access/marine</x:v>
      </x:c>
      <x:c r="C29" s="50" t="str">
        <x:v>%</x:v>
      </x:c>
      <x:c r="D29" s="77" t="n">
        <x:f>20%</x:f>
        <x:v>0.2</x:v>
      </x:c>
      <x:c r="E29" s="51" t="n">
        <x:f>F27</x:f>
        <x:v>62861037.299465254</x:v>
      </x:c>
      <x:c r="F29" s="51" t="n">
        <x:f>D29*E29</x:f>
        <x:v>12572207.459893052</x:v>
      </x:c>
      <x:c r="G29" s="50" t="str">
        <x:v>Planning allowance</x:v>
      </x:c>
      <x:c r="H29" s="50" t="str">
        <x:v>Low</x:v>
      </x:c>
      <x:c r="I29" s="51" t="n">
        <x:v>0</x:v>
      </x:c>
      <x:c r="J29" s="51" t="n">
        <x:f>F29-I29</x:f>
        <x:v>12572207.459893052</x:v>
      </x:c>
      <x:c r="K29" s="50" t="str">
        <x:v>Yes</x:v>
      </x:c>
      <x:c r="L29" s="50" t="str">
        <x:v>Not a project contingency study</x:v>
      </x:c>
    </x:row>
    <x:row r="30">
      <x:c r="A30" s="82" t="str">
        <x:v>TOTAL PROPOSED</x:v>
      </x:c>
      <x:c r="B30" s="82" t="str"/>
      <x:c r="C30" s="82" t="str"/>
      <x:c r="D30" s="102" t="str"/>
      <x:c r="E30" s="83" t="str"/>
      <x:c r="F30" s="83" t="n">
        <x:f>F27+F28+F29</x:f>
        <x:v>88259698.8857583</x:v>
      </x:c>
      <x:c r="G30" s="82" t="str"/>
      <x:c r="H30" s="82" t="str"/>
      <x:c r="I30" s="83" t="str"/>
      <x:c r="J30" s="83" t="str"/>
      <x:c r="K30" s="82" t="str"/>
      <x:c r="L30" s="82" t="str"/>
    </x:row>
    <x:row r="31">
      <x:c r="A31" s="50" t="str">
        <x:v>CURRENT HISTORIC ACCESS PROXY</x:v>
      </x:c>
      <x:c r="B31" s="50" t="str">
        <x:v>Stress-case bents x historic avg</x:v>
      </x:c>
      <x:c r="C31" s="50" t="str">
        <x:v>bent</x:v>
      </x:c>
      <x:c r="D31" s="61" t="n">
        <x:f>'03 Assumptions'!C5</x:f>
        <x:v>227</x:v>
      </x:c>
      <x:c r="E31" s="51" t="n">
        <x:f>'03 Assumptions'!C25/'03 Assumptions'!C24</x:f>
        <x:v>39137.014177215184</x:v>
      </x:c>
      <x:c r="F31" s="51" t="n">
        <x:f>D31*E31</x:f>
        <x:v>8884102.218227847</x:v>
      </x:c>
      <x:c r="G31" s="50" t="str">
        <x:v>Historic contract average</x:v>
      </x:c>
      <x:c r="H31" s="50" t="str">
        <x:v>Medium</x:v>
      </x:c>
      <x:c r="I31" s="51" t="n">
        <x:f>F31</x:f>
        <x:v>8884102.218227847</x:v>
      </x:c>
      <x:c r="J31" s="51" t="n">
        <x:f>F31-I31</x:f>
        <x:v>0</x:v>
      </x:c>
      <x:c r="K31" s="50" t="str">
        <x:v>No</x:v>
      </x:c>
      <x:c r="L31" s="50" t="str">
        <x:v>Not current remaining cost</x:v>
      </x:c>
    </x:row>
    <x:row r="32">
      <x:c r="A32" s="82" t="str">
        <x:v>CURRENT TOTAL SCOPE PROXY</x:v>
      </x:c>
      <x:c r="B32" s="82" t="str"/>
      <x:c r="C32" s="82" t="str"/>
      <x:c r="D32" s="102" t="str"/>
      <x:c r="E32" s="83" t="str"/>
      <x:c r="F32" s="83" t="n">
        <x:f>F31+I28</x:f>
        <x:v>21710556.344627846</x:v>
      </x:c>
      <x:c r="G32" s="82" t="str">
        <x:v>Historic access + common trade</x:v>
      </x:c>
      <x:c r="H32" s="82" t="str">
        <x:v>Low</x:v>
      </x:c>
      <x:c r="I32" s="83" t="n">
        <x:f>F32</x:f>
        <x:v>21710556.344627846</x:v>
      </x:c>
      <x:c r="J32" s="83" t="n">
        <x:f>F30-I32</x:f>
        <x:v>66549142.54113045</x:v>
      </x:c>
      <x:c r="K32" s="82" t="str"/>
      <x:c r="L32" s="82" t="str">
        <x:v>Not a termination / remaining-cost basis</x:v>
      </x:c>
    </x:row>
    <x:row r="33">
      <x:c r="A33" s="20" t="str">
        <x:v>Selected scenario</x:v>
      </x:c>
      <x:c r="B33" s="20" t="str">
        <x:v>Cycle d</x:v>
      </x:c>
      <x:c r="C33" s="20" t="str">
        <x:v>Rate at selected sets</x:v>
      </x:c>
      <x:c r="D33" s="20" t="str">
        <x:v>Production weeks</x:v>
      </x:c>
    </x:row>
    <x:row r="34">
      <x:c r="A34" s="28" t="str">
        <x:v>S3 repair library + improved welding</x:v>
      </x:c>
      <x:c r="B34" s="44" t="n">
        <x:f>'11 Fleet Sensitivity'!E30</x:f>
        <x:v>13.842500000000003</x:v>
      </x:c>
      <x:c r="C34" s="44" t="n">
        <x:f>'11 Fleet Sensitivity'!G30</x:f>
        <x:v>4.052736138703268</x:v>
      </x:c>
      <x:c r="D34" s="44" t="n">
        <x:f>'03 Assumptions'!C5/C34</x:f>
        <x:v>56.011541889483084</x:v>
      </x:c>
      <x:c r="F34" s="34" t="str">
        <x:v>COMMERCIAL INTERPRETATION: the result is a sensitivity, not a quotation. The model intentionally scales the marine spread with the access fleet. If 11 platform sets require three JUB service cells, JUB hire can dominate the access saving. Replace R01-R17 with written quotations and reconcile remaining scope before any board or procurement commitment.</x:v>
      </x:c>
      <x:c r="G34" s="34"/>
      <x:c r="H34" s="34"/>
      <x:c r="I34" s="34"/>
      <x:c r="J34" s="34"/>
      <x:c r="K34" s="34"/>
      <x:c r="L34" s="34"/>
    </x:row>
    <x:row r="35">
      <x:c r="F35" s="34"/>
      <x:c r="G35" s="34"/>
      <x:c r="H35" s="34"/>
      <x:c r="I35" s="34"/>
      <x:c r="J35" s="34"/>
      <x:c r="K35" s="34"/>
      <x:c r="L35" s="34"/>
    </x:row>
    <x:row r="36">
      <x:c r="F36" s="34"/>
      <x:c r="G36" s="34"/>
      <x:c r="H36" s="34"/>
      <x:c r="I36" s="34"/>
      <x:c r="J36" s="34"/>
      <x:c r="K36" s="34"/>
      <x:c r="L36" s="34"/>
    </x:row>
    <x:row r="37">
      <x:c r="F37" s="34"/>
      <x:c r="G37" s="34"/>
      <x:c r="H37" s="34"/>
      <x:c r="I37" s="34"/>
      <x:c r="J37" s="34"/>
      <x:c r="K37" s="34"/>
      <x:c r="L37" s="34"/>
    </x:row>
  </x:sheetData>
  <x:mergeCells>
    <x:mergeCell ref="A1:L1"/>
    <x:mergeCell ref="A2:L2"/>
    <x:mergeCell ref="F34:L37"/>
  </x:mergeCells>
  <x:dataValidations count="1">
    <x:dataValidation type="list" sqref="K5:K31">
      <x:formula1>"Yes,No"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1" max="1" width="8" hidden="0" customWidth="1"/>
    <x:col min="2" max="2" width="38" hidden="0" customWidth="1"/>
    <x:col min="3" max="3" width="14" hidden="0" customWidth="1"/>
    <x:col min="4" max="4" width="14" hidden="0" customWidth="1"/>
    <x:col min="5" max="5" width="10" hidden="0" customWidth="1"/>
    <x:col min="6" max="6" width="14" hidden="0" customWidth="1"/>
    <x:col min="7" max="7" width="38" hidden="0" customWidth="1"/>
    <x:col min="8" max="8" width="16" hidden="0" customWidth="1"/>
  </x:cols>
  <x:sheetData>
    <x:row r="1" ht="30" customHeight="1">
      <x:c r="A1" s="5" t="str">
        <x:v>Stage 1 to Execution Roadmap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0" customHeight="1">
      <x:c r="A2" s="12" t="str">
        <x:v>Indicative planning framework. Production dates remain conditional on supplier gates, STL decisions and the current priority register.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20" t="str">
        <x:v>ID</x:v>
      </x:c>
      <x:c r="B4" s="20" t="str">
        <x:v>Phase</x:v>
      </x:c>
      <x:c r="C4" s="20" t="str">
        <x:v>Start</x:v>
      </x:c>
      <x:c r="D4" s="20" t="str">
        <x:v>Finish</x:v>
      </x:c>
      <x:c r="E4" s="20" t="str">
        <x:v>Weeks</x:v>
      </x:c>
      <x:c r="F4" s="20" t="str">
        <x:v>Predecessor</x:v>
      </x:c>
      <x:c r="G4" s="20" t="str">
        <x:v>Decision / output</x:v>
      </x:c>
      <x:c r="H4" s="20" t="str">
        <x:v>Status</x:v>
      </x:c>
      <x:c r="J4" s="94" t="n">
        <x:v>46266</x:v>
      </x:c>
      <x:c r="K4" s="94" t="n">
        <x:v>46296</x:v>
      </x:c>
      <x:c r="L4" s="94" t="n">
        <x:v>46327</x:v>
      </x:c>
      <x:c r="M4" s="94" t="n">
        <x:v>46357</x:v>
      </x:c>
      <x:c r="N4" s="94" t="n">
        <x:v>46388</x:v>
      </x:c>
      <x:c r="O4" s="94" t="n">
        <x:v>46419</x:v>
      </x:c>
      <x:c r="P4" s="94" t="n">
        <x:v>46447</x:v>
      </x:c>
      <x:c r="Q4" s="94" t="n">
        <x:v>46478</x:v>
      </x:c>
      <x:c r="R4" s="94" t="n">
        <x:v>46508</x:v>
      </x:c>
      <x:c r="S4" s="94" t="n">
        <x:v>46539</x:v>
      </x:c>
      <x:c r="T4" s="94" t="n">
        <x:v>46569</x:v>
      </x:c>
      <x:c r="U4" s="94" t="n">
        <x:v>46600</x:v>
      </x:c>
      <x:c r="V4" s="94" t="n">
        <x:v>46631</x:v>
      </x:c>
      <x:c r="W4" s="94" t="n">
        <x:v>46661</x:v>
      </x:c>
      <x:c r="X4" s="94" t="n">
        <x:v>46692</x:v>
      </x:c>
      <x:c r="Y4" s="94" t="n">
        <x:v>46722</x:v>
      </x:c>
      <x:c r="Z4" s="94" t="n">
        <x:v>46753</x:v>
      </x:c>
      <x:c r="AA4" s="94" t="n">
        <x:v>46784</x:v>
      </x:c>
      <x:c r="AB4" s="94" t="n">
        <x:v>46813</x:v>
      </x:c>
      <x:c r="AC4" s="94" t="n">
        <x:v>46844</x:v>
      </x:c>
      <x:c r="AD4" s="94" t="n">
        <x:v>46874</x:v>
      </x:c>
      <x:c r="AE4" s="94" t="n">
        <x:v>46905</x:v>
      </x:c>
      <x:c r="AF4" s="94" t="n">
        <x:v>46935</x:v>
      </x:c>
      <x:c r="AG4" s="94" t="n">
        <x:v>46966</x:v>
      </x:c>
      <x:c r="AH4" s="94" t="n">
        <x:v>46997</x:v>
      </x:c>
      <x:c r="AI4" s="94" t="n">
        <x:v>47027</x:v>
      </x:c>
      <x:c r="AJ4" s="94" t="n">
        <x:v>47058</x:v>
      </x:c>
      <x:c r="AK4" s="94" t="n">
        <x:v>47088</x:v>
      </x:c>
    </x:row>
    <x:row r="5">
      <x:c r="A5" s="28" t="str">
        <x:v>P1</x:v>
      </x:c>
      <x:c r="B5" s="28" t="str">
        <x:v>Confirm bent register / priority boundary</x:v>
      </x:c>
      <x:c r="C5" s="56" t="n">
        <x:v>46258</x:v>
      </x:c>
      <x:c r="D5" s="56" t="n">
        <x:v>46269</x:v>
      </x:c>
      <x:c r="E5" s="68" t="n">
        <x:f>(D5-C5+1)/7</x:f>
        <x:v>1.7142857142857142</x:v>
      </x:c>
      <x:c r="F5" s="28" t="str">
        <x:v>n/a</x:v>
      </x:c>
      <x:c r="G5" s="28" t="str">
        <x:v>Accepted scope basis</x:v>
      </x:c>
      <x:c r="H5" s="28" t="str">
        <x:v>Required</x:v>
      </x:c>
      <x:c r="J5" s="98" t="str">
        <x:f>IF(AND(J$4&lt;=$D5,EOMONTH(J$4,0)&gt;=$C5),"X","")</x:f>
        <x:v>X</x:v>
      </x:c>
      <x:c r="K5" s="98" t="str">
        <x:f>IF(AND(K$4&lt;=$D5,EOMONTH(K$4,0)&gt;=$C5),"X","")</x:f>
      </x:c>
      <x:c r="L5" s="98" t="str">
        <x:f>IF(AND(L$4&lt;=$D5,EOMONTH(L$4,0)&gt;=$C5),"X","")</x:f>
      </x:c>
      <x:c r="M5" s="98" t="str">
        <x:f>IF(AND(M$4&lt;=$D5,EOMONTH(M$4,0)&gt;=$C5),"X","")</x:f>
      </x:c>
      <x:c r="N5" s="98" t="str">
        <x:f>IF(AND(N$4&lt;=$D5,EOMONTH(N$4,0)&gt;=$C5),"X","")</x:f>
      </x:c>
      <x:c r="O5" s="98" t="str">
        <x:f>IF(AND(O$4&lt;=$D5,EOMONTH(O$4,0)&gt;=$C5),"X","")</x:f>
      </x:c>
      <x:c r="P5" s="98" t="str">
        <x:f>IF(AND(P$4&lt;=$D5,EOMONTH(P$4,0)&gt;=$C5),"X","")</x:f>
      </x:c>
      <x:c r="Q5" s="98" t="str">
        <x:f>IF(AND(Q$4&lt;=$D5,EOMONTH(Q$4,0)&gt;=$C5),"X","")</x:f>
      </x:c>
      <x:c r="R5" s="98" t="str">
        <x:f>IF(AND(R$4&lt;=$D5,EOMONTH(R$4,0)&gt;=$C5),"X","")</x:f>
      </x:c>
      <x:c r="S5" s="98" t="str">
        <x:f>IF(AND(S$4&lt;=$D5,EOMONTH(S$4,0)&gt;=$C5),"X","")</x:f>
      </x:c>
      <x:c r="T5" s="98" t="str">
        <x:f>IF(AND(T$4&lt;=$D5,EOMONTH(T$4,0)&gt;=$C5),"X","")</x:f>
      </x:c>
      <x:c r="U5" s="98" t="str">
        <x:f>IF(AND(U$4&lt;=$D5,EOMONTH(U$4,0)&gt;=$C5),"X","")</x:f>
      </x:c>
      <x:c r="V5" s="98" t="str">
        <x:f>IF(AND(V$4&lt;=$D5,EOMONTH(V$4,0)&gt;=$C5),"X","")</x:f>
      </x:c>
      <x:c r="W5" s="98" t="str">
        <x:f>IF(AND(W$4&lt;=$D5,EOMONTH(W$4,0)&gt;=$C5),"X","")</x:f>
      </x:c>
      <x:c r="X5" s="98" t="str">
        <x:f>IF(AND(X$4&lt;=$D5,EOMONTH(X$4,0)&gt;=$C5),"X","")</x:f>
      </x:c>
      <x:c r="Y5" s="98" t="str">
        <x:f>IF(AND(Y$4&lt;=$D5,EOMONTH(Y$4,0)&gt;=$C5),"X","")</x:f>
      </x:c>
      <x:c r="Z5" s="98" t="str">
        <x:f>IF(AND(Z$4&lt;=$D5,EOMONTH(Z$4,0)&gt;=$C5),"X","")</x:f>
      </x:c>
      <x:c r="AA5" s="98" t="str">
        <x:f>IF(AND(AA$4&lt;=$D5,EOMONTH(AA$4,0)&gt;=$C5),"X","")</x:f>
      </x:c>
      <x:c r="AB5" s="98" t="str">
        <x:f>IF(AND(AB$4&lt;=$D5,EOMONTH(AB$4,0)&gt;=$C5),"X","")</x:f>
      </x:c>
      <x:c r="AC5" s="98" t="str">
        <x:f>IF(AND(AC$4&lt;=$D5,EOMONTH(AC$4,0)&gt;=$C5),"X","")</x:f>
      </x:c>
      <x:c r="AD5" s="98" t="str">
        <x:f>IF(AND(AD$4&lt;=$D5,EOMONTH(AD$4,0)&gt;=$C5),"X","")</x:f>
      </x:c>
      <x:c r="AE5" s="98" t="str">
        <x:f>IF(AND(AE$4&lt;=$D5,EOMONTH(AE$4,0)&gt;=$C5),"X","")</x:f>
      </x:c>
      <x:c r="AF5" s="98" t="str">
        <x:f>IF(AND(AF$4&lt;=$D5,EOMONTH(AF$4,0)&gt;=$C5),"X","")</x:f>
      </x:c>
      <x:c r="AG5" s="98" t="str">
        <x:f>IF(AND(AG$4&lt;=$D5,EOMONTH(AG$4,0)&gt;=$C5),"X","")</x:f>
      </x:c>
      <x:c r="AH5" s="98" t="str">
        <x:f>IF(AND(AH$4&lt;=$D5,EOMONTH(AH$4,0)&gt;=$C5),"X","")</x:f>
      </x:c>
      <x:c r="AI5" s="98" t="str">
        <x:f>IF(AND(AI$4&lt;=$D5,EOMONTH(AI$4,0)&gt;=$C5),"X","")</x:f>
      </x:c>
      <x:c r="AJ5" s="98" t="str">
        <x:f>IF(AND(AJ$4&lt;=$D5,EOMONTH(AJ$4,0)&gt;=$C5),"X","")</x:f>
      </x:c>
      <x:c r="AK5" s="98" t="str">
        <x:f>IF(AND(AK$4&lt;=$D5,EOMONTH(AK$4,0)&gt;=$C5),"X","")</x:f>
      </x:c>
    </x:row>
    <x:row r="6">
      <x:c r="A6" s="28" t="str">
        <x:v>P2</x:v>
      </x:c>
      <x:c r="B6" s="28" t="str">
        <x:v>Bathymetry and marine staging verification</x:v>
      </x:c>
      <x:c r="C6" s="56" t="n">
        <x:v>46258</x:v>
      </x:c>
      <x:c r="D6" s="56" t="n">
        <x:v>46283</x:v>
      </x:c>
      <x:c r="E6" s="68" t="n">
        <x:f>(D6-C6+1)/7</x:f>
        <x:v>3.7142857142857144</x:v>
      </x:c>
      <x:c r="F6" s="28" t="str">
        <x:v>n/a</x:v>
      </x:c>
      <x:c r="G6" s="28" t="str">
        <x:v>JUB / barge staging basis</x:v>
      </x:c>
      <x:c r="H6" s="28" t="str">
        <x:v>Required</x:v>
      </x:c>
      <x:c r="J6" s="98" t="str">
        <x:f>IF(AND(J$4&lt;=$D6,EOMONTH(J$4,0)&gt;=$C6),"X","")</x:f>
        <x:v>X</x:v>
      </x:c>
      <x:c r="K6" s="98" t="str">
        <x:f>IF(AND(K$4&lt;=$D6,EOMONTH(K$4,0)&gt;=$C6),"X","")</x:f>
      </x:c>
      <x:c r="L6" s="98" t="str">
        <x:f>IF(AND(L$4&lt;=$D6,EOMONTH(L$4,0)&gt;=$C6),"X","")</x:f>
      </x:c>
      <x:c r="M6" s="98" t="str">
        <x:f>IF(AND(M$4&lt;=$D6,EOMONTH(M$4,0)&gt;=$C6),"X","")</x:f>
      </x:c>
      <x:c r="N6" s="98" t="str">
        <x:f>IF(AND(N$4&lt;=$D6,EOMONTH(N$4,0)&gt;=$C6),"X","")</x:f>
      </x:c>
      <x:c r="O6" s="98" t="str">
        <x:f>IF(AND(O$4&lt;=$D6,EOMONTH(O$4,0)&gt;=$C6),"X","")</x:f>
      </x:c>
      <x:c r="P6" s="98" t="str">
        <x:f>IF(AND(P$4&lt;=$D6,EOMONTH(P$4,0)&gt;=$C6),"X","")</x:f>
      </x:c>
      <x:c r="Q6" s="98" t="str">
        <x:f>IF(AND(Q$4&lt;=$D6,EOMONTH(Q$4,0)&gt;=$C6),"X","")</x:f>
      </x:c>
      <x:c r="R6" s="98" t="str">
        <x:f>IF(AND(R$4&lt;=$D6,EOMONTH(R$4,0)&gt;=$C6),"X","")</x:f>
      </x:c>
      <x:c r="S6" s="98" t="str">
        <x:f>IF(AND(S$4&lt;=$D6,EOMONTH(S$4,0)&gt;=$C6),"X","")</x:f>
      </x:c>
      <x:c r="T6" s="98" t="str">
        <x:f>IF(AND(T$4&lt;=$D6,EOMONTH(T$4,0)&gt;=$C6),"X","")</x:f>
      </x:c>
      <x:c r="U6" s="98" t="str">
        <x:f>IF(AND(U$4&lt;=$D6,EOMONTH(U$4,0)&gt;=$C6),"X","")</x:f>
      </x:c>
      <x:c r="V6" s="98" t="str">
        <x:f>IF(AND(V$4&lt;=$D6,EOMONTH(V$4,0)&gt;=$C6),"X","")</x:f>
      </x:c>
      <x:c r="W6" s="98" t="str">
        <x:f>IF(AND(W$4&lt;=$D6,EOMONTH(W$4,0)&gt;=$C6),"X","")</x:f>
      </x:c>
      <x:c r="X6" s="98" t="str">
        <x:f>IF(AND(X$4&lt;=$D6,EOMONTH(X$4,0)&gt;=$C6),"X","")</x:f>
      </x:c>
      <x:c r="Y6" s="98" t="str">
        <x:f>IF(AND(Y$4&lt;=$D6,EOMONTH(Y$4,0)&gt;=$C6),"X","")</x:f>
      </x:c>
      <x:c r="Z6" s="98" t="str">
        <x:f>IF(AND(Z$4&lt;=$D6,EOMONTH(Z$4,0)&gt;=$C6),"X","")</x:f>
      </x:c>
      <x:c r="AA6" s="98" t="str">
        <x:f>IF(AND(AA$4&lt;=$D6,EOMONTH(AA$4,0)&gt;=$C6),"X","")</x:f>
      </x:c>
      <x:c r="AB6" s="98" t="str">
        <x:f>IF(AND(AB$4&lt;=$D6,EOMONTH(AB$4,0)&gt;=$C6),"X","")</x:f>
      </x:c>
      <x:c r="AC6" s="98" t="str">
        <x:f>IF(AND(AC$4&lt;=$D6,EOMONTH(AC$4,0)&gt;=$C6),"X","")</x:f>
      </x:c>
      <x:c r="AD6" s="98" t="str">
        <x:f>IF(AND(AD$4&lt;=$D6,EOMONTH(AD$4,0)&gt;=$C6),"X","")</x:f>
      </x:c>
      <x:c r="AE6" s="98" t="str">
        <x:f>IF(AND(AE$4&lt;=$D6,EOMONTH(AE$4,0)&gt;=$C6),"X","")</x:f>
      </x:c>
      <x:c r="AF6" s="98" t="str">
        <x:f>IF(AND(AF$4&lt;=$D6,EOMONTH(AF$4,0)&gt;=$C6),"X","")</x:f>
      </x:c>
      <x:c r="AG6" s="98" t="str">
        <x:f>IF(AND(AG$4&lt;=$D6,EOMONTH(AG$4,0)&gt;=$C6),"X","")</x:f>
      </x:c>
      <x:c r="AH6" s="98" t="str">
        <x:f>IF(AND(AH$4&lt;=$D6,EOMONTH(AH$4,0)&gt;=$C6),"X","")</x:f>
      </x:c>
      <x:c r="AI6" s="98" t="str">
        <x:f>IF(AND(AI$4&lt;=$D6,EOMONTH(AI$4,0)&gt;=$C6),"X","")</x:f>
      </x:c>
      <x:c r="AJ6" s="98" t="str">
        <x:f>IF(AND(AJ$4&lt;=$D6,EOMONTH(AJ$4,0)&gt;=$C6),"X","")</x:f>
      </x:c>
      <x:c r="AK6" s="98" t="str">
        <x:f>IF(AND(AK$4&lt;=$D6,EOMONTH(AK$4,0)&gt;=$C6),"X","")</x:f>
      </x:c>
    </x:row>
    <x:row r="7">
      <x:c r="A7" s="28" t="str">
        <x:v>P3</x:v>
      </x:c>
      <x:c r="B7" s="28" t="str">
        <x:v>GGC platform / containment / hoist supplier development</x:v>
      </x:c>
      <x:c r="C7" s="56" t="n">
        <x:v>46258</x:v>
      </x:c>
      <x:c r="D7" s="56" t="n">
        <x:v>46297</x:v>
      </x:c>
      <x:c r="E7" s="68" t="n">
        <x:f>(D7-C7+1)/7</x:f>
        <x:v>5.714285714285714</x:v>
      </x:c>
      <x:c r="F7" s="28" t="str">
        <x:v>n/a</x:v>
      </x:c>
      <x:c r="G7" s="28" t="str">
        <x:v>Supplier technical and price package</x:v>
      </x:c>
      <x:c r="H7" s="28" t="str">
        <x:v>Required</x:v>
      </x:c>
      <x:c r="J7" s="98" t="str">
        <x:f>IF(AND(J$4&lt;=$D7,EOMONTH(J$4,0)&gt;=$C7),"X","")</x:f>
        <x:v>X</x:v>
      </x:c>
      <x:c r="K7" s="98" t="str">
        <x:f>IF(AND(K$4&lt;=$D7,EOMONTH(K$4,0)&gt;=$C7),"X","")</x:f>
        <x:v>X</x:v>
      </x:c>
      <x:c r="L7" s="98" t="str">
        <x:f>IF(AND(L$4&lt;=$D7,EOMONTH(L$4,0)&gt;=$C7),"X","")</x:f>
      </x:c>
      <x:c r="M7" s="98" t="str">
        <x:f>IF(AND(M$4&lt;=$D7,EOMONTH(M$4,0)&gt;=$C7),"X","")</x:f>
      </x:c>
      <x:c r="N7" s="98" t="str">
        <x:f>IF(AND(N$4&lt;=$D7,EOMONTH(N$4,0)&gt;=$C7),"X","")</x:f>
      </x:c>
      <x:c r="O7" s="98" t="str">
        <x:f>IF(AND(O$4&lt;=$D7,EOMONTH(O$4,0)&gt;=$C7),"X","")</x:f>
      </x:c>
      <x:c r="P7" s="98" t="str">
        <x:f>IF(AND(P$4&lt;=$D7,EOMONTH(P$4,0)&gt;=$C7),"X","")</x:f>
      </x:c>
      <x:c r="Q7" s="98" t="str">
        <x:f>IF(AND(Q$4&lt;=$D7,EOMONTH(Q$4,0)&gt;=$C7),"X","")</x:f>
      </x:c>
      <x:c r="R7" s="98" t="str">
        <x:f>IF(AND(R$4&lt;=$D7,EOMONTH(R$4,0)&gt;=$C7),"X","")</x:f>
      </x:c>
      <x:c r="S7" s="98" t="str">
        <x:f>IF(AND(S$4&lt;=$D7,EOMONTH(S$4,0)&gt;=$C7),"X","")</x:f>
      </x:c>
      <x:c r="T7" s="98" t="str">
        <x:f>IF(AND(T$4&lt;=$D7,EOMONTH(T$4,0)&gt;=$C7),"X","")</x:f>
      </x:c>
      <x:c r="U7" s="98" t="str">
        <x:f>IF(AND(U$4&lt;=$D7,EOMONTH(U$4,0)&gt;=$C7),"X","")</x:f>
      </x:c>
      <x:c r="V7" s="98" t="str">
        <x:f>IF(AND(V$4&lt;=$D7,EOMONTH(V$4,0)&gt;=$C7),"X","")</x:f>
      </x:c>
      <x:c r="W7" s="98" t="str">
        <x:f>IF(AND(W$4&lt;=$D7,EOMONTH(W$4,0)&gt;=$C7),"X","")</x:f>
      </x:c>
      <x:c r="X7" s="98" t="str">
        <x:f>IF(AND(X$4&lt;=$D7,EOMONTH(X$4,0)&gt;=$C7),"X","")</x:f>
      </x:c>
      <x:c r="Y7" s="98" t="str">
        <x:f>IF(AND(Y$4&lt;=$D7,EOMONTH(Y$4,0)&gt;=$C7),"X","")</x:f>
      </x:c>
      <x:c r="Z7" s="98" t="str">
        <x:f>IF(AND(Z$4&lt;=$D7,EOMONTH(Z$4,0)&gt;=$C7),"X","")</x:f>
      </x:c>
      <x:c r="AA7" s="98" t="str">
        <x:f>IF(AND(AA$4&lt;=$D7,EOMONTH(AA$4,0)&gt;=$C7),"X","")</x:f>
      </x:c>
      <x:c r="AB7" s="98" t="str">
        <x:f>IF(AND(AB$4&lt;=$D7,EOMONTH(AB$4,0)&gt;=$C7),"X","")</x:f>
      </x:c>
      <x:c r="AC7" s="98" t="str">
        <x:f>IF(AND(AC$4&lt;=$D7,EOMONTH(AC$4,0)&gt;=$C7),"X","")</x:f>
      </x:c>
      <x:c r="AD7" s="98" t="str">
        <x:f>IF(AND(AD$4&lt;=$D7,EOMONTH(AD$4,0)&gt;=$C7),"X","")</x:f>
      </x:c>
      <x:c r="AE7" s="98" t="str">
        <x:f>IF(AND(AE$4&lt;=$D7,EOMONTH(AE$4,0)&gt;=$C7),"X","")</x:f>
      </x:c>
      <x:c r="AF7" s="98" t="str">
        <x:f>IF(AND(AF$4&lt;=$D7,EOMONTH(AF$4,0)&gt;=$C7),"X","")</x:f>
      </x:c>
      <x:c r="AG7" s="98" t="str">
        <x:f>IF(AND(AG$4&lt;=$D7,EOMONTH(AG$4,0)&gt;=$C7),"X","")</x:f>
      </x:c>
      <x:c r="AH7" s="98" t="str">
        <x:f>IF(AND(AH$4&lt;=$D7,EOMONTH(AH$4,0)&gt;=$C7),"X","")</x:f>
      </x:c>
      <x:c r="AI7" s="98" t="str">
        <x:f>IF(AND(AI$4&lt;=$D7,EOMONTH(AI$4,0)&gt;=$C7),"X","")</x:f>
      </x:c>
      <x:c r="AJ7" s="98" t="str">
        <x:f>IF(AND(AJ$4&lt;=$D7,EOMONTH(AJ$4,0)&gt;=$C7),"X","")</x:f>
      </x:c>
      <x:c r="AK7" s="98" t="str">
        <x:f>IF(AND(AK$4&lt;=$D7,EOMONTH(AK$4,0)&gt;=$C7),"X","")</x:f>
      </x:c>
    </x:row>
    <x:row r="8">
      <x:c r="A8" s="28" t="str">
        <x:v>P4</x:v>
      </x:c>
      <x:c r="B8" s="28" t="str">
        <x:v>Temporary works concept and independent review</x:v>
      </x:c>
      <x:c r="C8" s="56" t="n">
        <x:v>46279</x:v>
      </x:c>
      <x:c r="D8" s="56" t="n">
        <x:v>46325</x:v>
      </x:c>
      <x:c r="E8" s="68" t="n">
        <x:f>(D8-C8+1)/7</x:f>
        <x:v>6.714285714285714</x:v>
      </x:c>
      <x:c r="F8" s="28" t="str">
        <x:v>P2, P3</x:v>
      </x:c>
      <x:c r="G8" s="28" t="str">
        <x:v>Design basis</x:v>
      </x:c>
      <x:c r="H8" s="28" t="str">
        <x:v>Required</x:v>
      </x:c>
      <x:c r="J8" s="98" t="str">
        <x:f>IF(AND(J$4&lt;=$D8,EOMONTH(J$4,0)&gt;=$C8),"X","")</x:f>
        <x:v>X</x:v>
      </x:c>
      <x:c r="K8" s="98" t="str">
        <x:f>IF(AND(K$4&lt;=$D8,EOMONTH(K$4,0)&gt;=$C8),"X","")</x:f>
        <x:v>X</x:v>
      </x:c>
      <x:c r="L8" s="98" t="str">
        <x:f>IF(AND(L$4&lt;=$D8,EOMONTH(L$4,0)&gt;=$C8),"X","")</x:f>
      </x:c>
      <x:c r="M8" s="98" t="str">
        <x:f>IF(AND(M$4&lt;=$D8,EOMONTH(M$4,0)&gt;=$C8),"X","")</x:f>
      </x:c>
      <x:c r="N8" s="98" t="str">
        <x:f>IF(AND(N$4&lt;=$D8,EOMONTH(N$4,0)&gt;=$C8),"X","")</x:f>
      </x:c>
      <x:c r="O8" s="98" t="str">
        <x:f>IF(AND(O$4&lt;=$D8,EOMONTH(O$4,0)&gt;=$C8),"X","")</x:f>
      </x:c>
      <x:c r="P8" s="98" t="str">
        <x:f>IF(AND(P$4&lt;=$D8,EOMONTH(P$4,0)&gt;=$C8),"X","")</x:f>
      </x:c>
      <x:c r="Q8" s="98" t="str">
        <x:f>IF(AND(Q$4&lt;=$D8,EOMONTH(Q$4,0)&gt;=$C8),"X","")</x:f>
      </x:c>
      <x:c r="R8" s="98" t="str">
        <x:f>IF(AND(R$4&lt;=$D8,EOMONTH(R$4,0)&gt;=$C8),"X","")</x:f>
      </x:c>
      <x:c r="S8" s="98" t="str">
        <x:f>IF(AND(S$4&lt;=$D8,EOMONTH(S$4,0)&gt;=$C8),"X","")</x:f>
      </x:c>
      <x:c r="T8" s="98" t="str">
        <x:f>IF(AND(T$4&lt;=$D8,EOMONTH(T$4,0)&gt;=$C8),"X","")</x:f>
      </x:c>
      <x:c r="U8" s="98" t="str">
        <x:f>IF(AND(U$4&lt;=$D8,EOMONTH(U$4,0)&gt;=$C8),"X","")</x:f>
      </x:c>
      <x:c r="V8" s="98" t="str">
        <x:f>IF(AND(V$4&lt;=$D8,EOMONTH(V$4,0)&gt;=$C8),"X","")</x:f>
      </x:c>
      <x:c r="W8" s="98" t="str">
        <x:f>IF(AND(W$4&lt;=$D8,EOMONTH(W$4,0)&gt;=$C8),"X","")</x:f>
      </x:c>
      <x:c r="X8" s="98" t="str">
        <x:f>IF(AND(X$4&lt;=$D8,EOMONTH(X$4,0)&gt;=$C8),"X","")</x:f>
      </x:c>
      <x:c r="Y8" s="98" t="str">
        <x:f>IF(AND(Y$4&lt;=$D8,EOMONTH(Y$4,0)&gt;=$C8),"X","")</x:f>
      </x:c>
      <x:c r="Z8" s="98" t="str">
        <x:f>IF(AND(Z$4&lt;=$D8,EOMONTH(Z$4,0)&gt;=$C8),"X","")</x:f>
      </x:c>
      <x:c r="AA8" s="98" t="str">
        <x:f>IF(AND(AA$4&lt;=$D8,EOMONTH(AA$4,0)&gt;=$C8),"X","")</x:f>
      </x:c>
      <x:c r="AB8" s="98" t="str">
        <x:f>IF(AND(AB$4&lt;=$D8,EOMONTH(AB$4,0)&gt;=$C8),"X","")</x:f>
      </x:c>
      <x:c r="AC8" s="98" t="str">
        <x:f>IF(AND(AC$4&lt;=$D8,EOMONTH(AC$4,0)&gt;=$C8),"X","")</x:f>
      </x:c>
      <x:c r="AD8" s="98" t="str">
        <x:f>IF(AND(AD$4&lt;=$D8,EOMONTH(AD$4,0)&gt;=$C8),"X","")</x:f>
      </x:c>
      <x:c r="AE8" s="98" t="str">
        <x:f>IF(AND(AE$4&lt;=$D8,EOMONTH(AE$4,0)&gt;=$C8),"X","")</x:f>
      </x:c>
      <x:c r="AF8" s="98" t="str">
        <x:f>IF(AND(AF$4&lt;=$D8,EOMONTH(AF$4,0)&gt;=$C8),"X","")</x:f>
      </x:c>
      <x:c r="AG8" s="98" t="str">
        <x:f>IF(AND(AG$4&lt;=$D8,EOMONTH(AG$4,0)&gt;=$C8),"X","")</x:f>
      </x:c>
      <x:c r="AH8" s="98" t="str">
        <x:f>IF(AND(AH$4&lt;=$D8,EOMONTH(AH$4,0)&gt;=$C8),"X","")</x:f>
      </x:c>
      <x:c r="AI8" s="98" t="str">
        <x:f>IF(AND(AI$4&lt;=$D8,EOMONTH(AI$4,0)&gt;=$C8),"X","")</x:f>
      </x:c>
      <x:c r="AJ8" s="98" t="str">
        <x:f>IF(AND(AJ$4&lt;=$D8,EOMONTH(AJ$4,0)&gt;=$C8),"X","")</x:f>
      </x:c>
      <x:c r="AK8" s="98" t="str">
        <x:f>IF(AND(AK$4&lt;=$D8,EOMONTH(AK$4,0)&gt;=$C8),"X","")</x:f>
      </x:c>
    </x:row>
    <x:row r="9">
      <x:c r="A9" s="28" t="str">
        <x:v>P5</x:v>
      </x:c>
      <x:c r="B9" s="28" t="str">
        <x:v>Options workshop and Stage 1 recommendation</x:v>
      </x:c>
      <x:c r="C9" s="56" t="n">
        <x:v>46300</x:v>
      </x:c>
      <x:c r="D9" s="56" t="n">
        <x:v>46311</x:v>
      </x:c>
      <x:c r="E9" s="68" t="n">
        <x:f>(D9-C9+1)/7</x:f>
        <x:v>1.7142857142857142</x:v>
      </x:c>
      <x:c r="F9" s="28" t="str">
        <x:v>P1-P3</x:v>
      </x:c>
      <x:c r="G9" s="28" t="str">
        <x:v>Method decision</x:v>
      </x:c>
      <x:c r="H9" s="28" t="str">
        <x:v>Planned</x:v>
      </x:c>
      <x:c r="J9" s="98" t="str">
        <x:f>IF(AND(J$4&lt;=$D9,EOMONTH(J$4,0)&gt;=$C9),"X","")</x:f>
      </x:c>
      <x:c r="K9" s="98" t="str">
        <x:f>IF(AND(K$4&lt;=$D9,EOMONTH(K$4,0)&gt;=$C9),"X","")</x:f>
        <x:v>X</x:v>
      </x:c>
      <x:c r="L9" s="98" t="str">
        <x:f>IF(AND(L$4&lt;=$D9,EOMONTH(L$4,0)&gt;=$C9),"X","")</x:f>
      </x:c>
      <x:c r="M9" s="98" t="str">
        <x:f>IF(AND(M$4&lt;=$D9,EOMONTH(M$4,0)&gt;=$C9),"X","")</x:f>
      </x:c>
      <x:c r="N9" s="98" t="str">
        <x:f>IF(AND(N$4&lt;=$D9,EOMONTH(N$4,0)&gt;=$C9),"X","")</x:f>
      </x:c>
      <x:c r="O9" s="98" t="str">
        <x:f>IF(AND(O$4&lt;=$D9,EOMONTH(O$4,0)&gt;=$C9),"X","")</x:f>
      </x:c>
      <x:c r="P9" s="98" t="str">
        <x:f>IF(AND(P$4&lt;=$D9,EOMONTH(P$4,0)&gt;=$C9),"X","")</x:f>
      </x:c>
      <x:c r="Q9" s="98" t="str">
        <x:f>IF(AND(Q$4&lt;=$D9,EOMONTH(Q$4,0)&gt;=$C9),"X","")</x:f>
      </x:c>
      <x:c r="R9" s="98" t="str">
        <x:f>IF(AND(R$4&lt;=$D9,EOMONTH(R$4,0)&gt;=$C9),"X","")</x:f>
      </x:c>
      <x:c r="S9" s="98" t="str">
        <x:f>IF(AND(S$4&lt;=$D9,EOMONTH(S$4,0)&gt;=$C9),"X","")</x:f>
      </x:c>
      <x:c r="T9" s="98" t="str">
        <x:f>IF(AND(T$4&lt;=$D9,EOMONTH(T$4,0)&gt;=$C9),"X","")</x:f>
      </x:c>
      <x:c r="U9" s="98" t="str">
        <x:f>IF(AND(U$4&lt;=$D9,EOMONTH(U$4,0)&gt;=$C9),"X","")</x:f>
      </x:c>
      <x:c r="V9" s="98" t="str">
        <x:f>IF(AND(V$4&lt;=$D9,EOMONTH(V$4,0)&gt;=$C9),"X","")</x:f>
      </x:c>
      <x:c r="W9" s="98" t="str">
        <x:f>IF(AND(W$4&lt;=$D9,EOMONTH(W$4,0)&gt;=$C9),"X","")</x:f>
      </x:c>
      <x:c r="X9" s="98" t="str">
        <x:f>IF(AND(X$4&lt;=$D9,EOMONTH(X$4,0)&gt;=$C9),"X","")</x:f>
      </x:c>
      <x:c r="Y9" s="98" t="str">
        <x:f>IF(AND(Y$4&lt;=$D9,EOMONTH(Y$4,0)&gt;=$C9),"X","")</x:f>
      </x:c>
      <x:c r="Z9" s="98" t="str">
        <x:f>IF(AND(Z$4&lt;=$D9,EOMONTH(Z$4,0)&gt;=$C9),"X","")</x:f>
      </x:c>
      <x:c r="AA9" s="98" t="str">
        <x:f>IF(AND(AA$4&lt;=$D9,EOMONTH(AA$4,0)&gt;=$C9),"X","")</x:f>
      </x:c>
      <x:c r="AB9" s="98" t="str">
        <x:f>IF(AND(AB$4&lt;=$D9,EOMONTH(AB$4,0)&gt;=$C9),"X","")</x:f>
      </x:c>
      <x:c r="AC9" s="98" t="str">
        <x:f>IF(AND(AC$4&lt;=$D9,EOMONTH(AC$4,0)&gt;=$C9),"X","")</x:f>
      </x:c>
      <x:c r="AD9" s="98" t="str">
        <x:f>IF(AND(AD$4&lt;=$D9,EOMONTH(AD$4,0)&gt;=$C9),"X","")</x:f>
      </x:c>
      <x:c r="AE9" s="98" t="str">
        <x:f>IF(AND(AE$4&lt;=$D9,EOMONTH(AE$4,0)&gt;=$C9),"X","")</x:f>
      </x:c>
      <x:c r="AF9" s="98" t="str">
        <x:f>IF(AND(AF$4&lt;=$D9,EOMONTH(AF$4,0)&gt;=$C9),"X","")</x:f>
      </x:c>
      <x:c r="AG9" s="98" t="str">
        <x:f>IF(AND(AG$4&lt;=$D9,EOMONTH(AG$4,0)&gt;=$C9),"X","")</x:f>
      </x:c>
      <x:c r="AH9" s="98" t="str">
        <x:f>IF(AND(AH$4&lt;=$D9,EOMONTH(AH$4,0)&gt;=$C9),"X","")</x:f>
      </x:c>
      <x:c r="AI9" s="98" t="str">
        <x:f>IF(AND(AI$4&lt;=$D9,EOMONTH(AI$4,0)&gt;=$C9),"X","")</x:f>
      </x:c>
      <x:c r="AJ9" s="98" t="str">
        <x:f>IF(AND(AJ$4&lt;=$D9,EOMONTH(AJ$4,0)&gt;=$C9),"X","")</x:f>
      </x:c>
      <x:c r="AK9" s="98" t="str">
        <x:f>IF(AND(AK$4&lt;=$D9,EOMONTH(AK$4,0)&gt;=$C9),"X","")</x:f>
      </x:c>
    </x:row>
    <x:row r="10">
      <x:c r="A10" s="28" t="str">
        <x:v>P6</x:v>
      </x:c>
      <x:c r="B10" s="28" t="str">
        <x:v>Procurement and fabrication</x:v>
      </x:c>
      <x:c r="C10" s="56" t="n">
        <x:v>46328</x:v>
      </x:c>
      <x:c r="D10" s="56" t="n">
        <x:v>46444</x:v>
      </x:c>
      <x:c r="E10" s="68" t="n">
        <x:f>(D10-C10+1)/7</x:f>
        <x:v>16.714285714285715</x:v>
      </x:c>
      <x:c r="F10" s="28" t="str">
        <x:v>P4, P5</x:v>
      </x:c>
      <x:c r="G10" s="28" t="str">
        <x:v>Two-set proving fleet</x:v>
      </x:c>
      <x:c r="H10" s="28" t="str">
        <x:v>Indicative</x:v>
      </x:c>
      <x:c r="J10" s="98" t="str">
        <x:f>IF(AND(J$4&lt;=$D10,EOMONTH(J$4,0)&gt;=$C10),"X","")</x:f>
      </x:c>
      <x:c r="K10" s="98" t="str">
        <x:f>IF(AND(K$4&lt;=$D10,EOMONTH(K$4,0)&gt;=$C10),"X","")</x:f>
      </x:c>
      <x:c r="L10" s="98" t="str">
        <x:f>IF(AND(L$4&lt;=$D10,EOMONTH(L$4,0)&gt;=$C10),"X","")</x:f>
        <x:v>X</x:v>
      </x:c>
      <x:c r="M10" s="98" t="str">
        <x:f>IF(AND(M$4&lt;=$D10,EOMONTH(M$4,0)&gt;=$C10),"X","")</x:f>
        <x:v>X</x:v>
      </x:c>
      <x:c r="N10" s="98" t="str">
        <x:f>IF(AND(N$4&lt;=$D10,EOMONTH(N$4,0)&gt;=$C10),"X","")</x:f>
        <x:v>X</x:v>
      </x:c>
      <x:c r="O10" s="98" t="str">
        <x:f>IF(AND(O$4&lt;=$D10,EOMONTH(O$4,0)&gt;=$C10),"X","")</x:f>
        <x:v>X</x:v>
      </x:c>
      <x:c r="P10" s="98" t="str">
        <x:f>IF(AND(P$4&lt;=$D10,EOMONTH(P$4,0)&gt;=$C10),"X","")</x:f>
      </x:c>
      <x:c r="Q10" s="98" t="str">
        <x:f>IF(AND(Q$4&lt;=$D10,EOMONTH(Q$4,0)&gt;=$C10),"X","")</x:f>
      </x:c>
      <x:c r="R10" s="98" t="str">
        <x:f>IF(AND(R$4&lt;=$D10,EOMONTH(R$4,0)&gt;=$C10),"X","")</x:f>
      </x:c>
      <x:c r="S10" s="98" t="str">
        <x:f>IF(AND(S$4&lt;=$D10,EOMONTH(S$4,0)&gt;=$C10),"X","")</x:f>
      </x:c>
      <x:c r="T10" s="98" t="str">
        <x:f>IF(AND(T$4&lt;=$D10,EOMONTH(T$4,0)&gt;=$C10),"X","")</x:f>
      </x:c>
      <x:c r="U10" s="98" t="str">
        <x:f>IF(AND(U$4&lt;=$D10,EOMONTH(U$4,0)&gt;=$C10),"X","")</x:f>
      </x:c>
      <x:c r="V10" s="98" t="str">
        <x:f>IF(AND(V$4&lt;=$D10,EOMONTH(V$4,0)&gt;=$C10),"X","")</x:f>
      </x:c>
      <x:c r="W10" s="98" t="str">
        <x:f>IF(AND(W$4&lt;=$D10,EOMONTH(W$4,0)&gt;=$C10),"X","")</x:f>
      </x:c>
      <x:c r="X10" s="98" t="str">
        <x:f>IF(AND(X$4&lt;=$D10,EOMONTH(X$4,0)&gt;=$C10),"X","")</x:f>
      </x:c>
      <x:c r="Y10" s="98" t="str">
        <x:f>IF(AND(Y$4&lt;=$D10,EOMONTH(Y$4,0)&gt;=$C10),"X","")</x:f>
      </x:c>
      <x:c r="Z10" s="98" t="str">
        <x:f>IF(AND(Z$4&lt;=$D10,EOMONTH(Z$4,0)&gt;=$C10),"X","")</x:f>
      </x:c>
      <x:c r="AA10" s="98" t="str">
        <x:f>IF(AND(AA$4&lt;=$D10,EOMONTH(AA$4,0)&gt;=$C10),"X","")</x:f>
      </x:c>
      <x:c r="AB10" s="98" t="str">
        <x:f>IF(AND(AB$4&lt;=$D10,EOMONTH(AB$4,0)&gt;=$C10),"X","")</x:f>
      </x:c>
      <x:c r="AC10" s="98" t="str">
        <x:f>IF(AND(AC$4&lt;=$D10,EOMONTH(AC$4,0)&gt;=$C10),"X","")</x:f>
      </x:c>
      <x:c r="AD10" s="98" t="str">
        <x:f>IF(AND(AD$4&lt;=$D10,EOMONTH(AD$4,0)&gt;=$C10),"X","")</x:f>
      </x:c>
      <x:c r="AE10" s="98" t="str">
        <x:f>IF(AND(AE$4&lt;=$D10,EOMONTH(AE$4,0)&gt;=$C10),"X","")</x:f>
      </x:c>
      <x:c r="AF10" s="98" t="str">
        <x:f>IF(AND(AF$4&lt;=$D10,EOMONTH(AF$4,0)&gt;=$C10),"X","")</x:f>
      </x:c>
      <x:c r="AG10" s="98" t="str">
        <x:f>IF(AND(AG$4&lt;=$D10,EOMONTH(AG$4,0)&gt;=$C10),"X","")</x:f>
      </x:c>
      <x:c r="AH10" s="98" t="str">
        <x:f>IF(AND(AH$4&lt;=$D10,EOMONTH(AH$4,0)&gt;=$C10),"X","")</x:f>
      </x:c>
      <x:c r="AI10" s="98" t="str">
        <x:f>IF(AND(AI$4&lt;=$D10,EOMONTH(AI$4,0)&gt;=$C10),"X","")</x:f>
      </x:c>
      <x:c r="AJ10" s="98" t="str">
        <x:f>IF(AND(AJ$4&lt;=$D10,EOMONTH(AJ$4,0)&gt;=$C10),"X","")</x:f>
      </x:c>
      <x:c r="AK10" s="98" t="str">
        <x:f>IF(AND(AK$4&lt;=$D10,EOMONTH(AK$4,0)&gt;=$C10),"X","")</x:f>
      </x:c>
    </x:row>
    <x:row r="11">
      <x:c r="A11" s="28" t="str">
        <x:v>P7</x:v>
      </x:c>
      <x:c r="B11" s="28" t="str">
        <x:v>Factory acceptance / mobilisation</x:v>
      </x:c>
      <x:c r="C11" s="56" t="n">
        <x:v>46447</x:v>
      </x:c>
      <x:c r="D11" s="56" t="n">
        <x:v>46477</x:v>
      </x:c>
      <x:c r="E11" s="68" t="n">
        <x:f>(D11-C11+1)/7</x:f>
        <x:v>4.428571428571429</x:v>
      </x:c>
      <x:c r="F11" s="28" t="str">
        <x:v>P6</x:v>
      </x:c>
      <x:c r="G11" s="28" t="str">
        <x:v>Operational readiness</x:v>
      </x:c>
      <x:c r="H11" s="28" t="str">
        <x:v>Indicative</x:v>
      </x:c>
      <x:c r="J11" s="98" t="str">
        <x:f>IF(AND(J$4&lt;=$D11,EOMONTH(J$4,0)&gt;=$C11),"X","")</x:f>
      </x:c>
      <x:c r="K11" s="98" t="str">
        <x:f>IF(AND(K$4&lt;=$D11,EOMONTH(K$4,0)&gt;=$C11),"X","")</x:f>
      </x:c>
      <x:c r="L11" s="98" t="str">
        <x:f>IF(AND(L$4&lt;=$D11,EOMONTH(L$4,0)&gt;=$C11),"X","")</x:f>
      </x:c>
      <x:c r="M11" s="98" t="str">
        <x:f>IF(AND(M$4&lt;=$D11,EOMONTH(M$4,0)&gt;=$C11),"X","")</x:f>
      </x:c>
      <x:c r="N11" s="98" t="str">
        <x:f>IF(AND(N$4&lt;=$D11,EOMONTH(N$4,0)&gt;=$C11),"X","")</x:f>
      </x:c>
      <x:c r="O11" s="98" t="str">
        <x:f>IF(AND(O$4&lt;=$D11,EOMONTH(O$4,0)&gt;=$C11),"X","")</x:f>
      </x:c>
      <x:c r="P11" s="98" t="str">
        <x:f>IF(AND(P$4&lt;=$D11,EOMONTH(P$4,0)&gt;=$C11),"X","")</x:f>
        <x:v>X</x:v>
      </x:c>
      <x:c r="Q11" s="98" t="str">
        <x:f>IF(AND(Q$4&lt;=$D11,EOMONTH(Q$4,0)&gt;=$C11),"X","")</x:f>
      </x:c>
      <x:c r="R11" s="98" t="str">
        <x:f>IF(AND(R$4&lt;=$D11,EOMONTH(R$4,0)&gt;=$C11),"X","")</x:f>
      </x:c>
      <x:c r="S11" s="98" t="str">
        <x:f>IF(AND(S$4&lt;=$D11,EOMONTH(S$4,0)&gt;=$C11),"X","")</x:f>
      </x:c>
      <x:c r="T11" s="98" t="str">
        <x:f>IF(AND(T$4&lt;=$D11,EOMONTH(T$4,0)&gt;=$C11),"X","")</x:f>
      </x:c>
      <x:c r="U11" s="98" t="str">
        <x:f>IF(AND(U$4&lt;=$D11,EOMONTH(U$4,0)&gt;=$C11),"X","")</x:f>
      </x:c>
      <x:c r="V11" s="98" t="str">
        <x:f>IF(AND(V$4&lt;=$D11,EOMONTH(V$4,0)&gt;=$C11),"X","")</x:f>
      </x:c>
      <x:c r="W11" s="98" t="str">
        <x:f>IF(AND(W$4&lt;=$D11,EOMONTH(W$4,0)&gt;=$C11),"X","")</x:f>
      </x:c>
      <x:c r="X11" s="98" t="str">
        <x:f>IF(AND(X$4&lt;=$D11,EOMONTH(X$4,0)&gt;=$C11),"X","")</x:f>
      </x:c>
      <x:c r="Y11" s="98" t="str">
        <x:f>IF(AND(Y$4&lt;=$D11,EOMONTH(Y$4,0)&gt;=$C11),"X","")</x:f>
      </x:c>
      <x:c r="Z11" s="98" t="str">
        <x:f>IF(AND(Z$4&lt;=$D11,EOMONTH(Z$4,0)&gt;=$C11),"X","")</x:f>
      </x:c>
      <x:c r="AA11" s="98" t="str">
        <x:f>IF(AND(AA$4&lt;=$D11,EOMONTH(AA$4,0)&gt;=$C11),"X","")</x:f>
      </x:c>
      <x:c r="AB11" s="98" t="str">
        <x:f>IF(AND(AB$4&lt;=$D11,EOMONTH(AB$4,0)&gt;=$C11),"X","")</x:f>
      </x:c>
      <x:c r="AC11" s="98" t="str">
        <x:f>IF(AND(AC$4&lt;=$D11,EOMONTH(AC$4,0)&gt;=$C11),"X","")</x:f>
      </x:c>
      <x:c r="AD11" s="98" t="str">
        <x:f>IF(AND(AD$4&lt;=$D11,EOMONTH(AD$4,0)&gt;=$C11),"X","")</x:f>
      </x:c>
      <x:c r="AE11" s="98" t="str">
        <x:f>IF(AND(AE$4&lt;=$D11,EOMONTH(AE$4,0)&gt;=$C11),"X","")</x:f>
      </x:c>
      <x:c r="AF11" s="98" t="str">
        <x:f>IF(AND(AF$4&lt;=$D11,EOMONTH(AF$4,0)&gt;=$C11),"X","")</x:f>
      </x:c>
      <x:c r="AG11" s="98" t="str">
        <x:f>IF(AND(AG$4&lt;=$D11,EOMONTH(AG$4,0)&gt;=$C11),"X","")</x:f>
      </x:c>
      <x:c r="AH11" s="98" t="str">
        <x:f>IF(AND(AH$4&lt;=$D11,EOMONTH(AH$4,0)&gt;=$C11),"X","")</x:f>
      </x:c>
      <x:c r="AI11" s="98" t="str">
        <x:f>IF(AND(AI$4&lt;=$D11,EOMONTH(AI$4,0)&gt;=$C11),"X","")</x:f>
      </x:c>
      <x:c r="AJ11" s="98" t="str">
        <x:f>IF(AND(AJ$4&lt;=$D11,EOMONTH(AJ$4,0)&gt;=$C11),"X","")</x:f>
      </x:c>
      <x:c r="AK11" s="98" t="str">
        <x:f>IF(AND(AK$4&lt;=$D11,EOMONTH(AK$4,0)&gt;=$C11),"X","")</x:f>
      </x:c>
    </x:row>
    <x:row r="12">
      <x:c r="A12" s="28" t="str">
        <x:v>P8</x:v>
      </x:c>
      <x:c r="B12" s="28" t="str">
        <x:v>Two-set proving campaign</x:v>
      </x:c>
      <x:c r="C12" s="56" t="n">
        <x:v>46482</x:v>
      </x:c>
      <x:c r="D12" s="56" t="n">
        <x:v>46521</x:v>
      </x:c>
      <x:c r="E12" s="68" t="n">
        <x:f>(D12-C12+1)/7</x:f>
        <x:v>5.714285714285714</x:v>
      </x:c>
      <x:c r="F12" s="28" t="str">
        <x:v>P7</x:v>
      </x:c>
      <x:c r="G12" s="28" t="str">
        <x:v>Measured cycle and cost</x:v>
      </x:c>
      <x:c r="H12" s="28" t="str">
        <x:v>Indicative</x:v>
      </x:c>
      <x:c r="J12" s="98" t="str">
        <x:f>IF(AND(J$4&lt;=$D12,EOMONTH(J$4,0)&gt;=$C12),"X","")</x:f>
      </x:c>
      <x:c r="K12" s="98" t="str">
        <x:f>IF(AND(K$4&lt;=$D12,EOMONTH(K$4,0)&gt;=$C12),"X","")</x:f>
      </x:c>
      <x:c r="L12" s="98" t="str">
        <x:f>IF(AND(L$4&lt;=$D12,EOMONTH(L$4,0)&gt;=$C12),"X","")</x:f>
      </x:c>
      <x:c r="M12" s="98" t="str">
        <x:f>IF(AND(M$4&lt;=$D12,EOMONTH(M$4,0)&gt;=$C12),"X","")</x:f>
      </x:c>
      <x:c r="N12" s="98" t="str">
        <x:f>IF(AND(N$4&lt;=$D12,EOMONTH(N$4,0)&gt;=$C12),"X","")</x:f>
      </x:c>
      <x:c r="O12" s="98" t="str">
        <x:f>IF(AND(O$4&lt;=$D12,EOMONTH(O$4,0)&gt;=$C12),"X","")</x:f>
      </x:c>
      <x:c r="P12" s="98" t="str">
        <x:f>IF(AND(P$4&lt;=$D12,EOMONTH(P$4,0)&gt;=$C12),"X","")</x:f>
      </x:c>
      <x:c r="Q12" s="98" t="str">
        <x:f>IF(AND(Q$4&lt;=$D12,EOMONTH(Q$4,0)&gt;=$C12),"X","")</x:f>
        <x:v>X</x:v>
      </x:c>
      <x:c r="R12" s="98" t="str">
        <x:f>IF(AND(R$4&lt;=$D12,EOMONTH(R$4,0)&gt;=$C12),"X","")</x:f>
        <x:v>X</x:v>
      </x:c>
      <x:c r="S12" s="98" t="str">
        <x:f>IF(AND(S$4&lt;=$D12,EOMONTH(S$4,0)&gt;=$C12),"X","")</x:f>
      </x:c>
      <x:c r="T12" s="98" t="str">
        <x:f>IF(AND(T$4&lt;=$D12,EOMONTH(T$4,0)&gt;=$C12),"X","")</x:f>
      </x:c>
      <x:c r="U12" s="98" t="str">
        <x:f>IF(AND(U$4&lt;=$D12,EOMONTH(U$4,0)&gt;=$C12),"X","")</x:f>
      </x:c>
      <x:c r="V12" s="98" t="str">
        <x:f>IF(AND(V$4&lt;=$D12,EOMONTH(V$4,0)&gt;=$C12),"X","")</x:f>
      </x:c>
      <x:c r="W12" s="98" t="str">
        <x:f>IF(AND(W$4&lt;=$D12,EOMONTH(W$4,0)&gt;=$C12),"X","")</x:f>
      </x:c>
      <x:c r="X12" s="98" t="str">
        <x:f>IF(AND(X$4&lt;=$D12,EOMONTH(X$4,0)&gt;=$C12),"X","")</x:f>
      </x:c>
      <x:c r="Y12" s="98" t="str">
        <x:f>IF(AND(Y$4&lt;=$D12,EOMONTH(Y$4,0)&gt;=$C12),"X","")</x:f>
      </x:c>
      <x:c r="Z12" s="98" t="str">
        <x:f>IF(AND(Z$4&lt;=$D12,EOMONTH(Z$4,0)&gt;=$C12),"X","")</x:f>
      </x:c>
      <x:c r="AA12" s="98" t="str">
        <x:f>IF(AND(AA$4&lt;=$D12,EOMONTH(AA$4,0)&gt;=$C12),"X","")</x:f>
      </x:c>
      <x:c r="AB12" s="98" t="str">
        <x:f>IF(AND(AB$4&lt;=$D12,EOMONTH(AB$4,0)&gt;=$C12),"X","")</x:f>
      </x:c>
      <x:c r="AC12" s="98" t="str">
        <x:f>IF(AND(AC$4&lt;=$D12,EOMONTH(AC$4,0)&gt;=$C12),"X","")</x:f>
      </x:c>
      <x:c r="AD12" s="98" t="str">
        <x:f>IF(AND(AD$4&lt;=$D12,EOMONTH(AD$4,0)&gt;=$C12),"X","")</x:f>
      </x:c>
      <x:c r="AE12" s="98" t="str">
        <x:f>IF(AND(AE$4&lt;=$D12,EOMONTH(AE$4,0)&gt;=$C12),"X","")</x:f>
      </x:c>
      <x:c r="AF12" s="98" t="str">
        <x:f>IF(AND(AF$4&lt;=$D12,EOMONTH(AF$4,0)&gt;=$C12),"X","")</x:f>
      </x:c>
      <x:c r="AG12" s="98" t="str">
        <x:f>IF(AND(AG$4&lt;=$D12,EOMONTH(AG$4,0)&gt;=$C12),"X","")</x:f>
      </x:c>
      <x:c r="AH12" s="98" t="str">
        <x:f>IF(AND(AH$4&lt;=$D12,EOMONTH(AH$4,0)&gt;=$C12),"X","")</x:f>
      </x:c>
      <x:c r="AI12" s="98" t="str">
        <x:f>IF(AND(AI$4&lt;=$D12,EOMONTH(AI$4,0)&gt;=$C12),"X","")</x:f>
      </x:c>
      <x:c r="AJ12" s="98" t="str">
        <x:f>IF(AND(AJ$4&lt;=$D12,EOMONTH(AJ$4,0)&gt;=$C12),"X","")</x:f>
      </x:c>
      <x:c r="AK12" s="98" t="str">
        <x:f>IF(AND(AK$4&lt;=$D12,EOMONTH(AK$4,0)&gt;=$C12),"X","")</x:f>
      </x:c>
    </x:row>
    <x:row r="13">
      <x:c r="A13" s="28" t="str">
        <x:v>P9</x:v>
      </x:c>
      <x:c r="B13" s="28" t="str">
        <x:v>Production decision and fleet scale-up</x:v>
      </x:c>
      <x:c r="C13" s="56" t="n">
        <x:v>46524</x:v>
      </x:c>
      <x:c r="D13" s="56" t="n">
        <x:v>46563</x:v>
      </x:c>
      <x:c r="E13" s="68" t="n">
        <x:f>(D13-C13+1)/7</x:f>
        <x:v>5.714285714285714</x:v>
      </x:c>
      <x:c r="F13" s="28" t="str">
        <x:v>P8</x:v>
      </x:c>
      <x:c r="G13" s="28" t="str">
        <x:v>Approved production fleet</x:v>
      </x:c>
      <x:c r="H13" s="28" t="str">
        <x:v>Indicative</x:v>
      </x:c>
      <x:c r="J13" s="98" t="str">
        <x:f>IF(AND(J$4&lt;=$D13,EOMONTH(J$4,0)&gt;=$C13),"X","")</x:f>
      </x:c>
      <x:c r="K13" s="98" t="str">
        <x:f>IF(AND(K$4&lt;=$D13,EOMONTH(K$4,0)&gt;=$C13),"X","")</x:f>
      </x:c>
      <x:c r="L13" s="98" t="str">
        <x:f>IF(AND(L$4&lt;=$D13,EOMONTH(L$4,0)&gt;=$C13),"X","")</x:f>
      </x:c>
      <x:c r="M13" s="98" t="str">
        <x:f>IF(AND(M$4&lt;=$D13,EOMONTH(M$4,0)&gt;=$C13),"X","")</x:f>
      </x:c>
      <x:c r="N13" s="98" t="str">
        <x:f>IF(AND(N$4&lt;=$D13,EOMONTH(N$4,0)&gt;=$C13),"X","")</x:f>
      </x:c>
      <x:c r="O13" s="98" t="str">
        <x:f>IF(AND(O$4&lt;=$D13,EOMONTH(O$4,0)&gt;=$C13),"X","")</x:f>
      </x:c>
      <x:c r="P13" s="98" t="str">
        <x:f>IF(AND(P$4&lt;=$D13,EOMONTH(P$4,0)&gt;=$C13),"X","")</x:f>
      </x:c>
      <x:c r="Q13" s="98" t="str">
        <x:f>IF(AND(Q$4&lt;=$D13,EOMONTH(Q$4,0)&gt;=$C13),"X","")</x:f>
      </x:c>
      <x:c r="R13" s="98" t="str">
        <x:f>IF(AND(R$4&lt;=$D13,EOMONTH(R$4,0)&gt;=$C13),"X","")</x:f>
        <x:v>X</x:v>
      </x:c>
      <x:c r="S13" s="98" t="str">
        <x:f>IF(AND(S$4&lt;=$D13,EOMONTH(S$4,0)&gt;=$C13),"X","")</x:f>
        <x:v>X</x:v>
      </x:c>
      <x:c r="T13" s="98" t="str">
        <x:f>IF(AND(T$4&lt;=$D13,EOMONTH(T$4,0)&gt;=$C13),"X","")</x:f>
      </x:c>
      <x:c r="U13" s="98" t="str">
        <x:f>IF(AND(U$4&lt;=$D13,EOMONTH(U$4,0)&gt;=$C13),"X","")</x:f>
      </x:c>
      <x:c r="V13" s="98" t="str">
        <x:f>IF(AND(V$4&lt;=$D13,EOMONTH(V$4,0)&gt;=$C13),"X","")</x:f>
      </x:c>
      <x:c r="W13" s="98" t="str">
        <x:f>IF(AND(W$4&lt;=$D13,EOMONTH(W$4,0)&gt;=$C13),"X","")</x:f>
      </x:c>
      <x:c r="X13" s="98" t="str">
        <x:f>IF(AND(X$4&lt;=$D13,EOMONTH(X$4,0)&gt;=$C13),"X","")</x:f>
      </x:c>
      <x:c r="Y13" s="98" t="str">
        <x:f>IF(AND(Y$4&lt;=$D13,EOMONTH(Y$4,0)&gt;=$C13),"X","")</x:f>
      </x:c>
      <x:c r="Z13" s="98" t="str">
        <x:f>IF(AND(Z$4&lt;=$D13,EOMONTH(Z$4,0)&gt;=$C13),"X","")</x:f>
      </x:c>
      <x:c r="AA13" s="98" t="str">
        <x:f>IF(AND(AA$4&lt;=$D13,EOMONTH(AA$4,0)&gt;=$C13),"X","")</x:f>
      </x:c>
      <x:c r="AB13" s="98" t="str">
        <x:f>IF(AND(AB$4&lt;=$D13,EOMONTH(AB$4,0)&gt;=$C13),"X","")</x:f>
      </x:c>
      <x:c r="AC13" s="98" t="str">
        <x:f>IF(AND(AC$4&lt;=$D13,EOMONTH(AC$4,0)&gt;=$C13),"X","")</x:f>
      </x:c>
      <x:c r="AD13" s="98" t="str">
        <x:f>IF(AND(AD$4&lt;=$D13,EOMONTH(AD$4,0)&gt;=$C13),"X","")</x:f>
      </x:c>
      <x:c r="AE13" s="98" t="str">
        <x:f>IF(AND(AE$4&lt;=$D13,EOMONTH(AE$4,0)&gt;=$C13),"X","")</x:f>
      </x:c>
      <x:c r="AF13" s="98" t="str">
        <x:f>IF(AND(AF$4&lt;=$D13,EOMONTH(AF$4,0)&gt;=$C13),"X","")</x:f>
      </x:c>
      <x:c r="AG13" s="98" t="str">
        <x:f>IF(AND(AG$4&lt;=$D13,EOMONTH(AG$4,0)&gt;=$C13),"X","")</x:f>
      </x:c>
      <x:c r="AH13" s="98" t="str">
        <x:f>IF(AND(AH$4&lt;=$D13,EOMONTH(AH$4,0)&gt;=$C13),"X","")</x:f>
      </x:c>
      <x:c r="AI13" s="98" t="str">
        <x:f>IF(AND(AI$4&lt;=$D13,EOMONTH(AI$4,0)&gt;=$C13),"X","")</x:f>
      </x:c>
      <x:c r="AJ13" s="98" t="str">
        <x:f>IF(AND(AJ$4&lt;=$D13,EOMONTH(AJ$4,0)&gt;=$C13),"X","")</x:f>
      </x:c>
      <x:c r="AK13" s="98" t="str">
        <x:f>IF(AND(AK$4&lt;=$D13,EOMONTH(AK$4,0)&gt;=$C13),"X","")</x:f>
      </x:c>
    </x:row>
    <x:row r="14">
      <x:c r="A14" s="28" t="str">
        <x:v>P10</x:v>
      </x:c>
      <x:c r="B14" s="28" t="str">
        <x:v>Production Season 1</x:v>
      </x:c>
      <x:c r="C14" s="56" t="n">
        <x:v>46569</x:v>
      </x:c>
      <x:c r="D14" s="56" t="n">
        <x:v>46721</x:v>
      </x:c>
      <x:c r="E14" s="68" t="n">
        <x:f>(D14-C14+1)/7</x:f>
        <x:v>21.857142857142858</x:v>
      </x:c>
      <x:c r="F14" s="28" t="str">
        <x:v>P9</x:v>
      </x:c>
      <x:c r="G14" s="28" t="str">
        <x:v>QA-closed bents</x:v>
      </x:c>
      <x:c r="H14" s="28" t="str">
        <x:v>Indicative</x:v>
      </x:c>
      <x:c r="J14" s="98" t="str">
        <x:f>IF(AND(J$4&lt;=$D14,EOMONTH(J$4,0)&gt;=$C14),"X","")</x:f>
      </x:c>
      <x:c r="K14" s="98" t="str">
        <x:f>IF(AND(K$4&lt;=$D14,EOMONTH(K$4,0)&gt;=$C14),"X","")</x:f>
      </x:c>
      <x:c r="L14" s="98" t="str">
        <x:f>IF(AND(L$4&lt;=$D14,EOMONTH(L$4,0)&gt;=$C14),"X","")</x:f>
      </x:c>
      <x:c r="M14" s="98" t="str">
        <x:f>IF(AND(M$4&lt;=$D14,EOMONTH(M$4,0)&gt;=$C14),"X","")</x:f>
      </x:c>
      <x:c r="N14" s="98" t="str">
        <x:f>IF(AND(N$4&lt;=$D14,EOMONTH(N$4,0)&gt;=$C14),"X","")</x:f>
      </x:c>
      <x:c r="O14" s="98" t="str">
        <x:f>IF(AND(O$4&lt;=$D14,EOMONTH(O$4,0)&gt;=$C14),"X","")</x:f>
      </x:c>
      <x:c r="P14" s="98" t="str">
        <x:f>IF(AND(P$4&lt;=$D14,EOMONTH(P$4,0)&gt;=$C14),"X","")</x:f>
      </x:c>
      <x:c r="Q14" s="98" t="str">
        <x:f>IF(AND(Q$4&lt;=$D14,EOMONTH(Q$4,0)&gt;=$C14),"X","")</x:f>
      </x:c>
      <x:c r="R14" s="98" t="str">
        <x:f>IF(AND(R$4&lt;=$D14,EOMONTH(R$4,0)&gt;=$C14),"X","")</x:f>
      </x:c>
      <x:c r="S14" s="98" t="str">
        <x:f>IF(AND(S$4&lt;=$D14,EOMONTH(S$4,0)&gt;=$C14),"X","")</x:f>
      </x:c>
      <x:c r="T14" s="98" t="str">
        <x:f>IF(AND(T$4&lt;=$D14,EOMONTH(T$4,0)&gt;=$C14),"X","")</x:f>
        <x:v>X</x:v>
      </x:c>
      <x:c r="U14" s="98" t="str">
        <x:f>IF(AND(U$4&lt;=$D14,EOMONTH(U$4,0)&gt;=$C14),"X","")</x:f>
        <x:v>X</x:v>
      </x:c>
      <x:c r="V14" s="98" t="str">
        <x:f>IF(AND(V$4&lt;=$D14,EOMONTH(V$4,0)&gt;=$C14),"X","")</x:f>
        <x:v>X</x:v>
      </x:c>
      <x:c r="W14" s="98" t="str">
        <x:f>IF(AND(W$4&lt;=$D14,EOMONTH(W$4,0)&gt;=$C14),"X","")</x:f>
        <x:v>X</x:v>
      </x:c>
      <x:c r="X14" s="98" t="str">
        <x:f>IF(AND(X$4&lt;=$D14,EOMONTH(X$4,0)&gt;=$C14),"X","")</x:f>
        <x:v>X</x:v>
      </x:c>
      <x:c r="Y14" s="98" t="str">
        <x:f>IF(AND(Y$4&lt;=$D14,EOMONTH(Y$4,0)&gt;=$C14),"X","")</x:f>
      </x:c>
      <x:c r="Z14" s="98" t="str">
        <x:f>IF(AND(Z$4&lt;=$D14,EOMONTH(Z$4,0)&gt;=$C14),"X","")</x:f>
      </x:c>
      <x:c r="AA14" s="98" t="str">
        <x:f>IF(AND(AA$4&lt;=$D14,EOMONTH(AA$4,0)&gt;=$C14),"X","")</x:f>
      </x:c>
      <x:c r="AB14" s="98" t="str">
        <x:f>IF(AND(AB$4&lt;=$D14,EOMONTH(AB$4,0)&gt;=$C14),"X","")</x:f>
      </x:c>
      <x:c r="AC14" s="98" t="str">
        <x:f>IF(AND(AC$4&lt;=$D14,EOMONTH(AC$4,0)&gt;=$C14),"X","")</x:f>
      </x:c>
      <x:c r="AD14" s="98" t="str">
        <x:f>IF(AND(AD$4&lt;=$D14,EOMONTH(AD$4,0)&gt;=$C14),"X","")</x:f>
      </x:c>
      <x:c r="AE14" s="98" t="str">
        <x:f>IF(AND(AE$4&lt;=$D14,EOMONTH(AE$4,0)&gt;=$C14),"X","")</x:f>
      </x:c>
      <x:c r="AF14" s="98" t="str">
        <x:f>IF(AND(AF$4&lt;=$D14,EOMONTH(AF$4,0)&gt;=$C14),"X","")</x:f>
      </x:c>
      <x:c r="AG14" s="98" t="str">
        <x:f>IF(AND(AG$4&lt;=$D14,EOMONTH(AG$4,0)&gt;=$C14),"X","")</x:f>
      </x:c>
      <x:c r="AH14" s="98" t="str">
        <x:f>IF(AND(AH$4&lt;=$D14,EOMONTH(AH$4,0)&gt;=$C14),"X","")</x:f>
      </x:c>
      <x:c r="AI14" s="98" t="str">
        <x:f>IF(AND(AI$4&lt;=$D14,EOMONTH(AI$4,0)&gt;=$C14),"X","")</x:f>
      </x:c>
      <x:c r="AJ14" s="98" t="str">
        <x:f>IF(AND(AJ$4&lt;=$D14,EOMONTH(AJ$4,0)&gt;=$C14),"X","")</x:f>
      </x:c>
      <x:c r="AK14" s="98" t="str">
        <x:f>IF(AND(AK$4&lt;=$D14,EOMONTH(AK$4,0)&gt;=$C14),"X","")</x:f>
      </x:c>
    </x:row>
    <x:row r="15">
      <x:c r="A15" s="28" t="str">
        <x:v>P11</x:v>
      </x:c>
      <x:c r="B15" s="28" t="str">
        <x:v>Wet-season demobilisation / fabrication</x:v>
      </x:c>
      <x:c r="C15" s="56" t="n">
        <x:v>46722</x:v>
      </x:c>
      <x:c r="D15" s="56" t="n">
        <x:v>46843</x:v>
      </x:c>
      <x:c r="E15" s="68" t="n">
        <x:f>(D15-C15+1)/7</x:f>
        <x:v>17.428571428571427</x:v>
      </x:c>
      <x:c r="F15" s="28" t="str">
        <x:v>P10</x:v>
      </x:c>
      <x:c r="G15" s="28" t="str">
        <x:v>Fleet maintenance / pre-kitting</x:v>
      </x:c>
      <x:c r="H15" s="28" t="str">
        <x:v>Indicative</x:v>
      </x:c>
      <x:c r="J15" s="98" t="str">
        <x:f>IF(AND(J$4&lt;=$D15,EOMONTH(J$4,0)&gt;=$C15),"X","")</x:f>
      </x:c>
      <x:c r="K15" s="98" t="str">
        <x:f>IF(AND(K$4&lt;=$D15,EOMONTH(K$4,0)&gt;=$C15),"X","")</x:f>
      </x:c>
      <x:c r="L15" s="98" t="str">
        <x:f>IF(AND(L$4&lt;=$D15,EOMONTH(L$4,0)&gt;=$C15),"X","")</x:f>
      </x:c>
      <x:c r="M15" s="98" t="str">
        <x:f>IF(AND(M$4&lt;=$D15,EOMONTH(M$4,0)&gt;=$C15),"X","")</x:f>
      </x:c>
      <x:c r="N15" s="98" t="str">
        <x:f>IF(AND(N$4&lt;=$D15,EOMONTH(N$4,0)&gt;=$C15),"X","")</x:f>
      </x:c>
      <x:c r="O15" s="98" t="str">
        <x:f>IF(AND(O$4&lt;=$D15,EOMONTH(O$4,0)&gt;=$C15),"X","")</x:f>
      </x:c>
      <x:c r="P15" s="98" t="str">
        <x:f>IF(AND(P$4&lt;=$D15,EOMONTH(P$4,0)&gt;=$C15),"X","")</x:f>
      </x:c>
      <x:c r="Q15" s="98" t="str">
        <x:f>IF(AND(Q$4&lt;=$D15,EOMONTH(Q$4,0)&gt;=$C15),"X","")</x:f>
      </x:c>
      <x:c r="R15" s="98" t="str">
        <x:f>IF(AND(R$4&lt;=$D15,EOMONTH(R$4,0)&gt;=$C15),"X","")</x:f>
      </x:c>
      <x:c r="S15" s="98" t="str">
        <x:f>IF(AND(S$4&lt;=$D15,EOMONTH(S$4,0)&gt;=$C15),"X","")</x:f>
      </x:c>
      <x:c r="T15" s="98" t="str">
        <x:f>IF(AND(T$4&lt;=$D15,EOMONTH(T$4,0)&gt;=$C15),"X","")</x:f>
      </x:c>
      <x:c r="U15" s="98" t="str">
        <x:f>IF(AND(U$4&lt;=$D15,EOMONTH(U$4,0)&gt;=$C15),"X","")</x:f>
      </x:c>
      <x:c r="V15" s="98" t="str">
        <x:f>IF(AND(V$4&lt;=$D15,EOMONTH(V$4,0)&gt;=$C15),"X","")</x:f>
      </x:c>
      <x:c r="W15" s="98" t="str">
        <x:f>IF(AND(W$4&lt;=$D15,EOMONTH(W$4,0)&gt;=$C15),"X","")</x:f>
      </x:c>
      <x:c r="X15" s="98" t="str">
        <x:f>IF(AND(X$4&lt;=$D15,EOMONTH(X$4,0)&gt;=$C15),"X","")</x:f>
      </x:c>
      <x:c r="Y15" s="98" t="str">
        <x:f>IF(AND(Y$4&lt;=$D15,EOMONTH(Y$4,0)&gt;=$C15),"X","")</x:f>
        <x:v>X</x:v>
      </x:c>
      <x:c r="Z15" s="98" t="str">
        <x:f>IF(AND(Z$4&lt;=$D15,EOMONTH(Z$4,0)&gt;=$C15),"X","")</x:f>
        <x:v>X</x:v>
      </x:c>
      <x:c r="AA15" s="98" t="str">
        <x:f>IF(AND(AA$4&lt;=$D15,EOMONTH(AA$4,0)&gt;=$C15),"X","")</x:f>
        <x:v>X</x:v>
      </x:c>
      <x:c r="AB15" s="98" t="str">
        <x:f>IF(AND(AB$4&lt;=$D15,EOMONTH(AB$4,0)&gt;=$C15),"X","")</x:f>
        <x:v>X</x:v>
      </x:c>
      <x:c r="AC15" s="98" t="str">
        <x:f>IF(AND(AC$4&lt;=$D15,EOMONTH(AC$4,0)&gt;=$C15),"X","")</x:f>
      </x:c>
      <x:c r="AD15" s="98" t="str">
        <x:f>IF(AND(AD$4&lt;=$D15,EOMONTH(AD$4,0)&gt;=$C15),"X","")</x:f>
      </x:c>
      <x:c r="AE15" s="98" t="str">
        <x:f>IF(AND(AE$4&lt;=$D15,EOMONTH(AE$4,0)&gt;=$C15),"X","")</x:f>
      </x:c>
      <x:c r="AF15" s="98" t="str">
        <x:f>IF(AND(AF$4&lt;=$D15,EOMONTH(AF$4,0)&gt;=$C15),"X","")</x:f>
      </x:c>
      <x:c r="AG15" s="98" t="str">
        <x:f>IF(AND(AG$4&lt;=$D15,EOMONTH(AG$4,0)&gt;=$C15),"X","")</x:f>
      </x:c>
      <x:c r="AH15" s="98" t="str">
        <x:f>IF(AND(AH$4&lt;=$D15,EOMONTH(AH$4,0)&gt;=$C15),"X","")</x:f>
      </x:c>
      <x:c r="AI15" s="98" t="str">
        <x:f>IF(AND(AI$4&lt;=$D15,EOMONTH(AI$4,0)&gt;=$C15),"X","")</x:f>
      </x:c>
      <x:c r="AJ15" s="98" t="str">
        <x:f>IF(AND(AJ$4&lt;=$D15,EOMONTH(AJ$4,0)&gt;=$C15),"X","")</x:f>
      </x:c>
      <x:c r="AK15" s="98" t="str">
        <x:f>IF(AND(AK$4&lt;=$D15,EOMONTH(AK$4,0)&gt;=$C15),"X","")</x:f>
      </x:c>
    </x:row>
    <x:row r="16">
      <x:c r="A16" s="28" t="str">
        <x:v>P12</x:v>
      </x:c>
      <x:c r="B16" s="28" t="str">
        <x:v>Production Season 2</x:v>
      </x:c>
      <x:c r="C16" s="56" t="n">
        <x:v>46844</x:v>
      </x:c>
      <x:c r="D16" s="56" t="n">
        <x:v>47087</x:v>
      </x:c>
      <x:c r="E16" s="68" t="n">
        <x:f>(D16-C16+1)/7</x:f>
        <x:v>34.857142857142854</x:v>
      </x:c>
      <x:c r="F16" s="28" t="str">
        <x:v>P11</x:v>
      </x:c>
      <x:c r="G16" s="28" t="str">
        <x:v>Priority closeout</x:v>
      </x:c>
      <x:c r="H16" s="28" t="str">
        <x:v>Indicative</x:v>
      </x:c>
      <x:c r="J16" s="98" t="str">
        <x:f>IF(AND(J$4&lt;=$D16,EOMONTH(J$4,0)&gt;=$C16),"X","")</x:f>
      </x:c>
      <x:c r="K16" s="98" t="str">
        <x:f>IF(AND(K$4&lt;=$D16,EOMONTH(K$4,0)&gt;=$C16),"X","")</x:f>
      </x:c>
      <x:c r="L16" s="98" t="str">
        <x:f>IF(AND(L$4&lt;=$D16,EOMONTH(L$4,0)&gt;=$C16),"X","")</x:f>
      </x:c>
      <x:c r="M16" s="98" t="str">
        <x:f>IF(AND(M$4&lt;=$D16,EOMONTH(M$4,0)&gt;=$C16),"X","")</x:f>
      </x:c>
      <x:c r="N16" s="98" t="str">
        <x:f>IF(AND(N$4&lt;=$D16,EOMONTH(N$4,0)&gt;=$C16),"X","")</x:f>
      </x:c>
      <x:c r="O16" s="98" t="str">
        <x:f>IF(AND(O$4&lt;=$D16,EOMONTH(O$4,0)&gt;=$C16),"X","")</x:f>
      </x:c>
      <x:c r="P16" s="98" t="str">
        <x:f>IF(AND(P$4&lt;=$D16,EOMONTH(P$4,0)&gt;=$C16),"X","")</x:f>
      </x:c>
      <x:c r="Q16" s="98" t="str">
        <x:f>IF(AND(Q$4&lt;=$D16,EOMONTH(Q$4,0)&gt;=$C16),"X","")</x:f>
      </x:c>
      <x:c r="R16" s="98" t="str">
        <x:f>IF(AND(R$4&lt;=$D16,EOMONTH(R$4,0)&gt;=$C16),"X","")</x:f>
      </x:c>
      <x:c r="S16" s="98" t="str">
        <x:f>IF(AND(S$4&lt;=$D16,EOMONTH(S$4,0)&gt;=$C16),"X","")</x:f>
      </x:c>
      <x:c r="T16" s="98" t="str">
        <x:f>IF(AND(T$4&lt;=$D16,EOMONTH(T$4,0)&gt;=$C16),"X","")</x:f>
      </x:c>
      <x:c r="U16" s="98" t="str">
        <x:f>IF(AND(U$4&lt;=$D16,EOMONTH(U$4,0)&gt;=$C16),"X","")</x:f>
      </x:c>
      <x:c r="V16" s="98" t="str">
        <x:f>IF(AND(V$4&lt;=$D16,EOMONTH(V$4,0)&gt;=$C16),"X","")</x:f>
      </x:c>
      <x:c r="W16" s="98" t="str">
        <x:f>IF(AND(W$4&lt;=$D16,EOMONTH(W$4,0)&gt;=$C16),"X","")</x:f>
      </x:c>
      <x:c r="X16" s="98" t="str">
        <x:f>IF(AND(X$4&lt;=$D16,EOMONTH(X$4,0)&gt;=$C16),"X","")</x:f>
      </x:c>
      <x:c r="Y16" s="98" t="str">
        <x:f>IF(AND(Y$4&lt;=$D16,EOMONTH(Y$4,0)&gt;=$C16),"X","")</x:f>
      </x:c>
      <x:c r="Z16" s="98" t="str">
        <x:f>IF(AND(Z$4&lt;=$D16,EOMONTH(Z$4,0)&gt;=$C16),"X","")</x:f>
      </x:c>
      <x:c r="AA16" s="98" t="str">
        <x:f>IF(AND(AA$4&lt;=$D16,EOMONTH(AA$4,0)&gt;=$C16),"X","")</x:f>
      </x:c>
      <x:c r="AB16" s="98" t="str">
        <x:f>IF(AND(AB$4&lt;=$D16,EOMONTH(AB$4,0)&gt;=$C16),"X","")</x:f>
      </x:c>
      <x:c r="AC16" s="98" t="str">
        <x:f>IF(AND(AC$4&lt;=$D16,EOMONTH(AC$4,0)&gt;=$C16),"X","")</x:f>
        <x:v>X</x:v>
      </x:c>
      <x:c r="AD16" s="98" t="str">
        <x:f>IF(AND(AD$4&lt;=$D16,EOMONTH(AD$4,0)&gt;=$C16),"X","")</x:f>
        <x:v>X</x:v>
      </x:c>
      <x:c r="AE16" s="98" t="str">
        <x:f>IF(AND(AE$4&lt;=$D16,EOMONTH(AE$4,0)&gt;=$C16),"X","")</x:f>
        <x:v>X</x:v>
      </x:c>
      <x:c r="AF16" s="98" t="str">
        <x:f>IF(AND(AF$4&lt;=$D16,EOMONTH(AF$4,0)&gt;=$C16),"X","")</x:f>
        <x:v>X</x:v>
      </x:c>
      <x:c r="AG16" s="98" t="str">
        <x:f>IF(AND(AG$4&lt;=$D16,EOMONTH(AG$4,0)&gt;=$C16),"X","")</x:f>
        <x:v>X</x:v>
      </x:c>
      <x:c r="AH16" s="98" t="str">
        <x:f>IF(AND(AH$4&lt;=$D16,EOMONTH(AH$4,0)&gt;=$C16),"X","")</x:f>
        <x:v>X</x:v>
      </x:c>
      <x:c r="AI16" s="98" t="str">
        <x:f>IF(AND(AI$4&lt;=$D16,EOMONTH(AI$4,0)&gt;=$C16),"X","")</x:f>
        <x:v>X</x:v>
      </x:c>
      <x:c r="AJ16" s="98" t="str">
        <x:f>IF(AND(AJ$4&lt;=$D16,EOMONTH(AJ$4,0)&gt;=$C16),"X","")</x:f>
        <x:v>X</x:v>
      </x:c>
      <x:c r="AK16" s="98" t="str">
        <x:f>IF(AND(AK$4&lt;=$D16,EOMONTH(AK$4,0)&gt;=$C16),"X","")</x:f>
      </x:c>
    </x:row>
    <x:row r="19">
      <x:c r="A19" s="20" t="str">
        <x:v>Calendar control</x:v>
      </x:c>
      <x:c r="B19" s="20" t="str">
        <x:v>Treatment</x:v>
      </x:c>
      <x:c r="C19" s="20" t="str">
        <x:v>Status</x:v>
      </x:c>
    </x:row>
    <x:row r="20">
      <x:c r="A20" s="28" t="str">
        <x:v>Known ship calls / make-safe</x:v>
      </x:c>
      <x:c r="B20" s="28" t="str">
        <x:v>Explicit dated blocks in final line-of-balance</x:v>
      </x:c>
      <x:c r="C20" s="28" t="str">
        <x:v>Not yet loaded</x:v>
      </x:c>
    </x:row>
    <x:row r="21">
      <x:c r="A21" s="28" t="str">
        <x:v>Known terminal outages</x:v>
      </x:c>
      <x:c r="B21" s="28" t="str">
        <x:v>Explicit dated blocks</x:v>
      </x:c>
      <x:c r="C21" s="28" t="str">
        <x:v>Not yet supplied</x:v>
      </x:c>
    </x:row>
    <x:row r="22">
      <x:c r="A22" s="28" t="str">
        <x:v>Wet-season demob / remob</x:v>
      </x:c>
      <x:c r="B22" s="28" t="str">
        <x:v>Explicit programme block</x:v>
      </x:c>
      <x:c r="C22" s="28" t="str">
        <x:v>Included at high level</x:v>
      </x:c>
    </x:row>
    <x:row r="23">
      <x:c r="A23" s="28" t="str">
        <x:v>Proving and ramp-up</x:v>
      </x:c>
      <x:c r="B23" s="28" t="str">
        <x:v>Explicit programme block</x:v>
      </x:c>
      <x:c r="C23" s="28" t="str">
        <x:v>Included at high level</x:v>
      </x:c>
    </x:row>
    <x:row r="24">
      <x:c r="A24" s="28" t="str">
        <x:v>Residual weather / breakdown</x:v>
      </x:c>
      <x:c r="B24" s="28" t="str">
        <x:v>85% stochastic availability</x:v>
      </x:c>
      <x:c r="C24" s="28" t="str">
        <x:v>Included in rate model</x:v>
      </x:c>
    </x:row>
    <x:row r="25">
      <x:c r="A25" s="28" t="str">
        <x:v>Night production</x:v>
      </x:c>
      <x:c r="B25" s="28" t="str">
        <x:v>Not assumed</x:v>
      </x:c>
      <x:c r="C25" s="28" t="str">
        <x:v>Controlled basis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46" hidden="0" customWidth="1"/>
    <x:col min="4" max="4" width="36" hidden="0" customWidth="1"/>
    <x:col min="5" max="5" width="44" hidden="0" customWidth="1"/>
  </x:cols>
  <x:sheetData>
    <x:row r="1" ht="30" customHeight="1">
      <x:c r="A1" s="5" t="str">
        <x:v>Current versus Preferred Hybrid Delivery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Comparison uses the same completion definition. Cost remains indicative pending written supplier rates.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Criterion</x:v>
      </x:c>
      <x:c r="B4" s="20" t="str">
        <x:v>Current scaffold method</x:v>
      </x:c>
      <x:c r="C4" s="20" t="str">
        <x:v>Preferred hybrid candidate</x:v>
      </x:c>
      <x:c r="D4" s="20" t="str">
        <x:v>Evidence position</x:v>
      </x:c>
      <x:c r="E4" s="20" t="str">
        <x:v>Implication</x:v>
      </x:c>
    </x:row>
    <x:row r="5">
      <x:c r="A5" s="28" t="str">
        <x:v>Access creation</x:v>
      </x:c>
      <x:c r="B5" s="28" t="str">
        <x:v>Built and stripped at every bent</x:v>
      </x:c>
      <x:c r="C5" s="28" t="str">
        <x:v>Positioned reusable access, floated and winched</x:v>
      </x:c>
      <x:c r="D5" s="28" t="str">
        <x:v>Concept and supplier precedent</x:v>
      </x:c>
      <x:c r="E5" s="28" t="str">
        <x:v>Removes repeated scaffold cycle where geometry fits</x:v>
      </x:c>
    </x:row>
    <x:row r="6">
      <x:c r="A6" s="28" t="str">
        <x:v>Typical planned cycle</x:v>
      </x:c>
      <x:c r="B6" s="28" t="str">
        <x:v>14-15 d</x:v>
      </x:c>
      <x:c r="C6" s="28" t="str">
        <x:v>Low/base/high cycle in model</x:v>
      </x:c>
      <x:c r="D6" s="28" t="str">
        <x:v>Current visible programme; proposed engineering model</x:v>
      </x:c>
      <x:c r="E6" s="28" t="str">
        <x:v>Proposed rate not yet trial proven</x:v>
      </x:c>
    </x:row>
    <x:row r="7">
      <x:c r="A7" s="28" t="str">
        <x:v>Demonstrated output</x:v>
      </x:c>
      <x:c r="B7" s="28" t="str">
        <x:v>0.36 safe-access stage eq/week</x:v>
      </x:c>
      <x:c r="C7" s="28" t="str">
        <x:v>No demonstrated QA-closed output</x:v>
      </x:c>
      <x:c r="D7" s="28" t="str">
        <x:v>Claim data vs concept</x:v>
      </x:c>
      <x:c r="E7" s="28" t="str">
        <x:v>No valid productivity-uplift percentage yet</x:v>
      </x:c>
    </x:row>
    <x:row r="8">
      <x:c r="A8" s="28" t="str">
        <x:v>Roadway impact</x:v>
      </x:c>
      <x:c r="B8" s="28" t="str">
        <x:v>Materials, plant and waste on single lane</x:v>
      </x:c>
      <x:c r="C8" s="28" t="str">
        <x:v>Crew/light duties by road; heavy logistics by water</x:v>
      </x:c>
      <x:c r="D8" s="28" t="str">
        <x:v>Method statement</x:v>
      </x:c>
      <x:c r="E8" s="28" t="str">
        <x:v>Reduces but does not eliminate roadway interface</x:v>
      </x:c>
    </x:row>
    <x:row r="9">
      <x:c r="A9" s="28" t="str">
        <x:v>Tide dependence</x:v>
      </x:c>
      <x:c r="B9" s="28" t="str">
        <x:v>Lowest decks and jackets constrained</x:v>
      </x:c>
      <x:c r="C9" s="28" t="str">
        <x:v>Platform-accessible work elevated; below-LAT remains constrained</x:v>
      </x:c>
      <x:c r="D9" s="28" t="str">
        <x:v>Concept</x:v>
      </x:c>
      <x:c r="E9" s="28" t="str">
        <x:v>Tidal dependence reduced, not removed</x:v>
      </x:c>
    </x:row>
    <x:row r="10">
      <x:c r="A10" s="28" t="str">
        <x:v>Containment</x:v>
      </x:c>
      <x:c r="B10" s="28" t="str">
        <x:v>Full bent scaffold encapsulation</x:v>
      </x:c>
      <x:c r="C10" s="28" t="str">
        <x:v>Local pile half-shell plus separate headstock enclosure</x:v>
      </x:c>
      <x:c r="D10" s="28" t="str">
        <x:v>Pile concept; headstock open</x:v>
      </x:c>
      <x:c r="E10" s="28" t="str">
        <x:v>Supplier development required</x:v>
      </x:c>
    </x:row>
    <x:row r="11">
      <x:c r="A11" s="28" t="str">
        <x:v>Bent-family coverage</x:v>
      </x:c>
      <x:c r="B11" s="28" t="str">
        <x:v>High</x:v>
      </x:c>
      <x:c r="C11" s="28" t="str">
        <x:v>Typical bents strong; non-typical hybrid</x:v>
      </x:c>
      <x:c r="D11" s="28" t="str">
        <x:v>Bent family matrix</x:v>
      </x:c>
      <x:c r="E11" s="28" t="str">
        <x:v>No single method across whole scope</x:v>
      </x:c>
    </x:row>
    <x:row r="12">
      <x:c r="A12" s="28" t="str">
        <x:v>Marine spread</x:v>
      </x:c>
      <x:c r="B12" s="28" t="str">
        <x:v>Limited</x:v>
      </x:c>
      <x:c r="C12" s="28" t="str">
        <x:v>JUB/service cells, workboat, rescue craft</x:v>
      </x:c>
      <x:c r="D12" s="28" t="str">
        <x:v>Concept</x:v>
      </x:c>
      <x:c r="E12" s="28" t="str">
        <x:v>Can become dominant cost and interface</x:v>
      </x:c>
    </x:row>
    <x:row r="13">
      <x:c r="A13" s="28" t="str">
        <x:v>Cyclone recovery</x:v>
      </x:c>
      <x:c r="B13" s="28" t="str">
        <x:v>Scaffold strip / secure</x:v>
      </x:c>
      <x:c r="C13" s="28" t="str">
        <x:v>Full fleet recovery to refuge</x:v>
      </x:c>
      <x:c r="D13" s="28" t="str">
        <x:v>Unproven</x:v>
      </x:c>
      <x:c r="E13" s="28" t="str">
        <x:v>Timed drill is feasibility gate</x:v>
      </x:c>
    </x:row>
    <x:row r="14">
      <x:c r="A14" s="28" t="str">
        <x:v>Cost basis</x:v>
      </x:c>
      <x:c r="B14" s="28" t="str">
        <x:v>Historic contract values known</x:v>
      </x:c>
      <x:c r="C14" s="28" t="str">
        <x:v>Planning allowance only</x:v>
      </x:c>
      <x:c r="D14" s="28" t="str">
        <x:v>No written GGC/JUB quote</x:v>
      </x:c>
      <x:c r="E14" s="28" t="str">
        <x:v>No cost-saving claim</x:v>
      </x:c>
    </x:row>
    <x:row r="15">
      <x:c r="A15" s="28" t="str">
        <x:v>Decision confidence</x:v>
      </x:c>
      <x:c r="B15" s="28" t="str">
        <x:v>Known method, poor demonstrated pace</x:v>
      </x:c>
      <x:c r="C15" s="28" t="str">
        <x:v>Higher access potential, unproven scale</x:v>
      </x:c>
      <x:c r="D15" s="28" t="str">
        <x:v>Current assessment</x:v>
      </x:c>
      <x:c r="E15" s="28" t="str">
        <x:v>Proceed to proving, not full procurement commitment</x:v>
      </x:c>
    </x:row>
    <x:row r="18">
      <x:c r="A18" s="20" t="str">
        <x:v>Decision test</x:v>
      </x:c>
      <x:c r="B18" s="20" t="str">
        <x:v>Pass criterion</x:v>
      </x:c>
      <x:c r="C18" s="20" t="str">
        <x:v>Current status</x:v>
      </x:c>
      <x:c r="D18" s="20" t="str">
        <x:v>Evidence needed</x:v>
      </x:c>
    </x:row>
    <x:row r="19">
      <x:c r="A19" s="28" t="str">
        <x:v>Technical feasibility</x:v>
      </x:c>
      <x:c r="B19" s="28" t="str">
        <x:v>Temporary works, containment, rescue and cyclone plans accepted</x:v>
      </x:c>
      <x:c r="C19" s="28" t="str">
        <x:v>Open</x:v>
      </x:c>
      <x:c r="D19" s="28" t="str">
        <x:v>Supplier package plus independent check</x:v>
      </x:c>
    </x:row>
    <x:row r="20">
      <x:c r="A20" s="28" t="str">
        <x:v>Programme feasibility</x:v>
      </x:c>
      <x:c r="B20" s="28" t="str">
        <x:v>Dated model meets priority scope with measured trial rates</x:v>
      </x:c>
      <x:c r="C20" s="28" t="str">
        <x:v>Open</x:v>
      </x:c>
      <x:c r="D20" s="28" t="str">
        <x:v>Bent register plus proving data</x:v>
      </x:c>
    </x:row>
    <x:row r="21">
      <x:c r="A21" s="28" t="str">
        <x:v>Commercial feasibility</x:v>
      </x:c>
      <x:c r="B21" s="28" t="str">
        <x:v>Risk-adjusted remaining cost compares favourably on same basis</x:v>
      </x:c>
      <x:c r="C21" s="28" t="str">
        <x:v>Open</x:v>
      </x:c>
      <x:c r="D21" s="28" t="str">
        <x:v>Written rates plus current cost-to-complete</x:v>
      </x:c>
    </x:row>
    <x:row r="22">
      <x:c r="A22" s="28" t="str">
        <x:v>Procurement readiness</x:v>
      </x:c>
      <x:c r="B22" s="28" t="str">
        <x:v>Scope, interfaces and acceptance criteria defined</x:v>
      </x:c>
      <x:c r="C22" s="28" t="str">
        <x:v>Open</x:v>
      </x:c>
      <x:c r="D22" s="28" t="str">
        <x:v>Stage 2 package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30" hidden="0" customWidth="1"/>
    <x:col min="5" max="5" width="36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22" hidden="0" customWidth="1"/>
    <x:col min="11" max="11" width="16" hidden="0" customWidth="1"/>
    <x:col min="12" max="12" width="14" hidden="0" customWidth="1"/>
  </x:cols>
  <x:sheetData>
    <x:row r="1" ht="30" customHeight="1">
      <x:c r="A1" s="5" t="str">
        <x:v>Risk, RFI and Verification Gate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Material uncertainties are visible and linked to the decision they affect.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0" t="str">
        <x:v>ID</x:v>
      </x:c>
      <x:c r="B4" s="20" t="str">
        <x:v>Category</x:v>
      </x:c>
      <x:c r="C4" s="20" t="str">
        <x:v>Risk / uncertainty</x:v>
      </x:c>
      <x:c r="D4" s="20" t="str">
        <x:v>Cause</x:v>
      </x:c>
      <x:c r="E4" s="20" t="str">
        <x:v>Consequence</x:v>
      </x:c>
      <x:c r="F4" s="20" t="str">
        <x:v>Likelihood</x:v>
      </x:c>
      <x:c r="G4" s="20" t="str">
        <x:v>Impact</x:v>
      </x:c>
      <x:c r="H4" s="20" t="str">
        <x:v>Rating</x:v>
      </x:c>
      <x:c r="I4" s="20" t="str">
        <x:v>Mitigation / evidence required</x:v>
      </x:c>
      <x:c r="J4" s="20" t="str">
        <x:v>Owner</x:v>
      </x:c>
      <x:c r="K4" s="20" t="str">
        <x:v>Gate</x:v>
      </x:c>
      <x:c r="L4" s="20" t="str">
        <x:v>Status</x:v>
      </x:c>
    </x:row>
    <x:row r="5">
      <x:c r="A5" s="28" t="str">
        <x:v>R01</x:v>
      </x:c>
      <x:c r="B5" s="28" t="str">
        <x:v>Scope</x:v>
      </x:c>
      <x:c r="C5" s="28" t="str">
        <x:v>Remaining priority scope not defined</x:v>
      </x:c>
      <x:c r="D5" s="28" t="str">
        <x:v>No current bent register</x:v>
      </x:c>
      <x:c r="E5" s="28" t="str">
        <x:v>Required rate and cost may be wrong</x:v>
      </x:c>
      <x:c r="F5" s="28" t="str">
        <x:v>High</x:v>
      </x:c>
      <x:c r="G5" s="28" t="str">
        <x:v>High</x:v>
      </x:c>
      <x:c r="H5" s="28" t="str">
        <x:v>Critical</x:v>
      </x:c>
      <x:c r="I5" s="28" t="str">
        <x:v>Issue accepted as-at-date bent register by family/status/priority</x:v>
      </x:c>
      <x:c r="J5" s="28" t="str">
        <x:v>STL</x:v>
      </x:c>
      <x:c r="K5" s="28" t="str">
        <x:v>G1 Scope</x:v>
      </x:c>
      <x:c r="L5" s="28" t="str">
        <x:v>Open</x:v>
      </x:c>
    </x:row>
    <x:row r="6">
      <x:c r="A6" s="28" t="str">
        <x:v>R02</x:v>
      </x:c>
      <x:c r="B6" s="28" t="str">
        <x:v>Temporary works</x:v>
      </x:c>
      <x:c r="C6" s="28" t="str">
        <x:v>Platform/clamp/traversing deck load path unproven</x:v>
      </x:c>
      <x:c r="D6" s="28" t="str">
        <x:v>Concept only</x:v>
      </x:c>
      <x:c r="E6" s="28" t="str">
        <x:v>Unsafe or infeasible suspended access</x:v>
      </x:c>
      <x:c r="F6" s="28" t="str">
        <x:v>Medium</x:v>
      </x:c>
      <x:c r="G6" s="28" t="str">
        <x:v>High</x:v>
      </x:c>
      <x:c r="H6" s="28" t="str">
        <x:v>Critical</x:v>
      </x:c>
      <x:c r="I6" s="28" t="str">
        <x:v>Supplier design, RPEQ and independent check</x:v>
      </x:c>
      <x:c r="J6" s="28" t="str">
        <x:v>Endura / supplier</x:v>
      </x:c>
      <x:c r="K6" s="28" t="str">
        <x:v>G2 TW</x:v>
      </x:c>
      <x:c r="L6" s="28" t="str">
        <x:v>Open</x:v>
      </x:c>
    </x:row>
    <x:row r="7">
      <x:c r="A7" s="28" t="str">
        <x:v>R03</x:v>
      </x:c>
      <x:c r="B7" s="28" t="str">
        <x:v>Containment</x:v>
      </x:c>
      <x:c r="C7" s="28" t="str">
        <x:v>Half-shell alignment across two suspended platforms</x:v>
      </x:c>
      <x:c r="D7" s="28" t="str">
        <x:v>Relative movement</x:v>
      </x:c>
      <x:c r="E7" s="28" t="str">
        <x:v>Loss of seal / environmental breach</x:v>
      </x:c>
      <x:c r="F7" s="28" t="str">
        <x:v>Medium</x:v>
      </x:c>
      <x:c r="G7" s="28" t="str">
        <x:v>High</x:v>
      </x:c>
      <x:c r="H7" s="28" t="str">
        <x:v>Major</x:v>
      </x:c>
      <x:c r="I7" s="28" t="str">
        <x:v>Interlocks, tolerance analysis and field trial</x:v>
      </x:c>
      <x:c r="J7" s="28" t="str">
        <x:v>Supplier</x:v>
      </x:c>
      <x:c r="K7" s="28" t="str">
        <x:v>G3 Containment</x:v>
      </x:c>
      <x:c r="L7" s="28" t="str">
        <x:v>Open</x:v>
      </x:c>
    </x:row>
    <x:row r="8">
      <x:c r="A8" s="28" t="str">
        <x:v>R04</x:v>
      </x:c>
      <x:c r="B8" s="28" t="str">
        <x:v>Headstock containment</x:v>
      </x:c>
      <x:c r="C8" s="28" t="str">
        <x:v>No complete method or duration</x:v>
      </x:c>
      <x:c r="D8" s="28" t="str">
        <x:v>Concept incomplete</x:v>
      </x:c>
      <x:c r="E8" s="28" t="str">
        <x:v>Cycle and environmental case understated</x:v>
      </x:c>
      <x:c r="F8" s="28" t="str">
        <x:v>High</x:v>
      </x:c>
      <x:c r="G8" s="28" t="str">
        <x:v>High</x:v>
      </x:c>
      <x:c r="H8" s="28" t="str">
        <x:v>Critical</x:v>
      </x:c>
      <x:c r="I8" s="28" t="str">
        <x:v>Supplier module and timed trial</x:v>
      </x:c>
      <x:c r="J8" s="28" t="str">
        <x:v>Supplier</x:v>
      </x:c>
      <x:c r="K8" s="28" t="str">
        <x:v>G3 Containment</x:v>
      </x:c>
      <x:c r="L8" s="28" t="str">
        <x:v>Open</x:v>
      </x:c>
    </x:row>
    <x:row r="9">
      <x:c r="A9" s="28" t="str">
        <x:v>R05</x:v>
      </x:c>
      <x:c r="B9" s="28" t="str">
        <x:v>Below-LAT jacket</x:v>
      </x:c>
      <x:c r="C9" s="28" t="str">
        <x:v>Method not established</x:v>
      </x:c>
      <x:c r="D9" s="28" t="str">
        <x:v>Submerged termination</x:v>
      </x:c>
      <x:c r="E9" s="28" t="str">
        <x:v>Scope not executable / cycle understated</x:v>
      </x:c>
      <x:c r="F9" s="28" t="str">
        <x:v>High</x:v>
      </x:c>
      <x:c r="G9" s="28" t="str">
        <x:v>High</x:v>
      </x:c>
      <x:c r="H9" s="28" t="str">
        <x:v>Critical</x:v>
      </x:c>
      <x:c r="I9" s="28" t="str">
        <x:v>Denso / marine specialist method and acceptance</x:v>
      </x:c>
      <x:c r="J9" s="28" t="str">
        <x:v>Supplier</x:v>
      </x:c>
      <x:c r="K9" s="28" t="str">
        <x:v>G4 Jacket</x:v>
      </x:c>
      <x:c r="L9" s="28" t="str">
        <x:v>Open</x:v>
      </x:c>
    </x:row>
    <x:row r="10">
      <x:c r="A10" s="28" t="str">
        <x:v>R06</x:v>
      </x:c>
      <x:c r="B10" s="28" t="str">
        <x:v>Approval</x:v>
      </x:c>
      <x:c r="C10" s="28" t="str">
        <x:v>One bent-level approval may not be accepted</x:v>
      </x:c>
      <x:c r="D10" s="28" t="str">
        <x:v>Diagnostic sequence differs from current practice</x:v>
      </x:c>
      <x:c r="E10" s="28" t="str">
        <x:v>Additional holds increase fleet</x:v>
      </x:c>
      <x:c r="F10" s="28" t="str">
        <x:v>Medium</x:v>
      </x:c>
      <x:c r="G10" s="28" t="str">
        <x:v>High</x:v>
      </x:c>
      <x:c r="H10" s="28" t="str">
        <x:v>Major</x:v>
      </x:c>
      <x:c r="I10" s="28" t="str">
        <x:v>Agree repair library and approval workflow</x:v>
      </x:c>
      <x:c r="J10" s="28" t="str">
        <x:v>STL / reviewing engineer</x:v>
      </x:c>
      <x:c r="K10" s="28" t="str">
        <x:v>G5 Repair</x:v>
      </x:c>
      <x:c r="L10" s="28" t="str">
        <x:v>Open</x:v>
      </x:c>
    </x:row>
    <x:row r="11">
      <x:c r="A11" s="28" t="str">
        <x:v>R07</x:v>
      </x:c>
      <x:c r="B11" s="28" t="str">
        <x:v>Weld rate</x:v>
      </x:c>
      <x:c r="C11" s="28" t="str">
        <x:v>8-12 lm/crew-shift not demonstrated</x:v>
      </x:c>
      <x:c r="D11" s="28" t="str">
        <x:v>No accepted site record</x:v>
      </x:c>
      <x:c r="E11" s="28" t="str">
        <x:v>Fleet/workforce understated</x:v>
      </x:c>
      <x:c r="F11" s="28" t="str">
        <x:v>High</x:v>
      </x:c>
      <x:c r="G11" s="28" t="str">
        <x:v>High</x:v>
      </x:c>
      <x:c r="H11" s="28" t="str">
        <x:v>Critical</x:v>
      </x:c>
      <x:c r="I11" s="28" t="str">
        <x:v>Timed full-shift trial including rework</x:v>
      </x:c>
      <x:c r="J11" s="28" t="str">
        <x:v>Weld contractor</x:v>
      </x:c>
      <x:c r="K11" s="28" t="str">
        <x:v>G5 Repair</x:v>
      </x:c>
      <x:c r="L11" s="28" t="str">
        <x:v>Open</x:v>
      </x:c>
    </x:row>
    <x:row r="12">
      <x:c r="A12" s="28" t="str">
        <x:v>R08</x:v>
      </x:c>
      <x:c r="B12" s="28" t="str">
        <x:v>Marine scale</x:v>
      </x:c>
      <x:c r="C12" s="28" t="str">
        <x:v>One JUB cannot service dispersed fleet</x:v>
      </x:c>
      <x:c r="D12" s="28" t="str">
        <x:v>Reach and hose limits</x:v>
      </x:c>
      <x:c r="E12" s="28" t="str">
        <x:v>Multiple cells drive cost</x:v>
      </x:c>
      <x:c r="F12" s="28" t="str">
        <x:v>High</x:v>
      </x:c>
      <x:c r="G12" s="28" t="str">
        <x:v>High</x:v>
      </x:c>
      <x:c r="H12" s="28" t="str">
        <x:v>Critical</x:v>
      </x:c>
      <x:c r="I12" s="28" t="str">
        <x:v>Develop service-cell architecture and GA reach study</x:v>
      </x:c>
      <x:c r="J12" s="28" t="str">
        <x:v>Marine contractor</x:v>
      </x:c>
      <x:c r="K12" s="28" t="str">
        <x:v>G6 Marine</x:v>
      </x:c>
      <x:c r="L12" s="28" t="str">
        <x:v>Open</x:v>
      </x:c>
    </x:row>
    <x:row r="13">
      <x:c r="A13" s="28" t="str">
        <x:v>R09</x:v>
      </x:c>
      <x:c r="B13" s="28" t="str">
        <x:v>Bathymetry / seabed</x:v>
      </x:c>
      <x:c r="C13" s="28" t="str">
        <x:v>No selected unit or survey</x:v>
      </x:c>
      <x:c r="D13" s="28" t="str">
        <x:v>Unknown depth/penetration</x:v>
      </x:c>
      <x:c r="E13" s="28" t="str">
        <x:v>JUB unavailable in sections</x:v>
      </x:c>
      <x:c r="F13" s="28" t="str">
        <x:v>Medium</x:v>
      </x:c>
      <x:c r="G13" s="28" t="str">
        <x:v>High</x:v>
      </x:c>
      <x:c r="H13" s="28" t="str">
        <x:v>Major</x:v>
      </x:c>
      <x:c r="I13" s="28" t="str">
        <x:v>Bathymetry and seabed assessment</x:v>
      </x:c>
      <x:c r="J13" s="28" t="str">
        <x:v>STL</x:v>
      </x:c>
      <x:c r="K13" s="28" t="str">
        <x:v>G6 Marine</x:v>
      </x:c>
      <x:c r="L13" s="28" t="str">
        <x:v>Open</x:v>
      </x:c>
    </x:row>
    <x:row r="14">
      <x:c r="A14" s="28" t="str">
        <x:v>R10</x:v>
      </x:c>
      <x:c r="B14" s="28" t="str">
        <x:v>Workboat capacity</x:v>
      </x:c>
      <x:c r="C14" s="28" t="str">
        <x:v>5-person/1070 kg limit</x:v>
      </x:c>
      <x:c r="D14" s="28" t="str">
        <x:v>Combined rescue/freight/move demand</x:v>
      </x:c>
      <x:c r="E14" s="28" t="str">
        <x:v>Rescue availability compromised</x:v>
      </x:c>
      <x:c r="F14" s="28" t="str">
        <x:v>Medium</x:v>
      </x:c>
      <x:c r="G14" s="28" t="str">
        <x:v>High</x:v>
      </x:c>
      <x:c r="H14" s="28" t="str">
        <x:v>Major</x:v>
      </x:c>
      <x:c r="I14" s="28" t="str">
        <x:v>Dedicated rescue craft and load plan</x:v>
      </x:c>
      <x:c r="J14" s="28" t="str">
        <x:v>Marine contractor</x:v>
      </x:c>
      <x:c r="K14" s="28" t="str">
        <x:v>G7 Rescue</x:v>
      </x:c>
      <x:c r="L14" s="28" t="str">
        <x:v>Open</x:v>
      </x:c>
    </x:row>
    <x:row r="15">
      <x:c r="A15" s="28" t="str">
        <x:v>R11</x:v>
      </x:c>
      <x:c r="B15" s="28" t="str">
        <x:v>Shipping</x:v>
      </x:c>
      <x:c r="C15" s="28" t="str">
        <x:v>Make-safe notice and restart not modelled by event</x:v>
      </x:c>
      <x:c r="D15" s="28" t="str">
        <x:v>10-14 calls/year</x:v>
      </x:c>
      <x:c r="E15" s="28" t="str">
        <x:v>Production loss or terminal conflict</x:v>
      </x:c>
      <x:c r="F15" s="28" t="str">
        <x:v>High</x:v>
      </x:c>
      <x:c r="G15" s="28" t="str">
        <x:v>Medium</x:v>
      </x:c>
      <x:c r="H15" s="28" t="str">
        <x:v>Major</x:v>
      </x:c>
      <x:c r="I15" s="28" t="str">
        <x:v>Dated ship-call blocks and make-safe drill</x:v>
      </x:c>
      <x:c r="J15" s="28" t="str">
        <x:v>STL / contractor</x:v>
      </x:c>
      <x:c r="K15" s="28" t="str">
        <x:v>G8 Calendar</x:v>
      </x:c>
      <x:c r="L15" s="28" t="str">
        <x:v>Open</x:v>
      </x:c>
    </x:row>
    <x:row r="16">
      <x:c r="A16" s="28" t="str">
        <x:v>R12</x:v>
      </x:c>
      <x:c r="B16" s="28" t="str">
        <x:v>Cyclone</x:v>
      </x:c>
      <x:c r="C16" s="28" t="str">
        <x:v>Full fleet recovery unproven</x:v>
      </x:c>
      <x:c r="D16" s="28" t="str">
        <x:v>Large marine spread</x:v>
      </x:c>
      <x:c r="E16" s="28" t="str">
        <x:v>Unable to clear inside warning period</x:v>
      </x:c>
      <x:c r="F16" s="28" t="str">
        <x:v>Medium</x:v>
      </x:c>
      <x:c r="G16" s="28" t="str">
        <x:v>High</x:v>
      </x:c>
      <x:c r="H16" s="28" t="str">
        <x:v>Critical</x:v>
      </x:c>
      <x:c r="I16" s="28" t="str">
        <x:v>Timed recovery to nominated refuge before scale-up</x:v>
      </x:c>
      <x:c r="J16" s="28" t="str">
        <x:v>Marine contractor</x:v>
      </x:c>
      <x:c r="K16" s="28" t="str">
        <x:v>G9 Cyclone</x:v>
      </x:c>
      <x:c r="L16" s="28" t="str">
        <x:v>Open</x:v>
      </x:c>
    </x:row>
    <x:row r="17">
      <x:c r="A17" s="28" t="str">
        <x:v>R13</x:v>
      </x:c>
      <x:c r="B17" s="28" t="str">
        <x:v>Cost</x:v>
      </x:c>
      <x:c r="C17" s="28" t="str">
        <x:v>GGC and JUB monetary quotes absent</x:v>
      </x:c>
      <x:c r="D17" s="28" t="str">
        <x:v>Technical data only</x:v>
      </x:c>
      <x:c r="E17" s="28" t="str">
        <x:v>Board comparison unreliable</x:v>
      </x:c>
      <x:c r="F17" s="28" t="str">
        <x:v>High</x:v>
      </x:c>
      <x:c r="G17" s="28" t="str">
        <x:v>High</x:v>
      </x:c>
      <x:c r="H17" s="28" t="str">
        <x:v>Critical</x:v>
      </x:c>
      <x:c r="I17" s="28" t="str">
        <x:v>Written rate sheets with inclusions/exclusions</x:v>
      </x:c>
      <x:c r="J17" s="28" t="str">
        <x:v>Endura</x:v>
      </x:c>
      <x:c r="K17" s="28" t="str">
        <x:v>G10 Commercial</x:v>
      </x:c>
      <x:c r="L17" s="28" t="str">
        <x:v>Open</x:v>
      </x:c>
    </x:row>
    <x:row r="18">
      <x:c r="A18" s="28" t="str">
        <x:v>R14</x:v>
      </x:c>
      <x:c r="B18" s="28" t="str">
        <x:v>Schedule</x:v>
      </x:c>
      <x:c r="C18" s="28" t="str">
        <x:v>Native MPP logic not independently verified</x:v>
      </x:c>
      <x:c r="D18" s="28" t="str">
        <x:v>Image-only schedule / conflicting extracts</x:v>
      </x:c>
      <x:c r="E18" s="28" t="str">
        <x:v>Critical path claims unreliable</x:v>
      </x:c>
      <x:c r="F18" s="28" t="str">
        <x:v>Medium</x:v>
      </x:c>
      <x:c r="G18" s="28" t="str">
        <x:v>Medium</x:v>
      </x:c>
      <x:c r="H18" s="28" t="str">
        <x:v>Major</x:v>
      </x:c>
      <x:c r="I18" s="28" t="str">
        <x:v>Planner-issued logic export</x:v>
      </x:c>
      <x:c r="J18" s="28" t="str">
        <x:v>STL / AAB</x:v>
      </x:c>
      <x:c r="K18" s="28" t="str">
        <x:v>G11 Planning</x:v>
      </x:c>
      <x:c r="L18" s="28" t="str">
        <x:v>Open</x:v>
      </x:c>
    </x:row>
    <x:row r="19">
      <x:c r="A19" s="28" t="str">
        <x:v>R15</x:v>
      </x:c>
      <x:c r="B19" s="28" t="str">
        <x:v>Quality</x:v>
      </x:c>
      <x:c r="C19" s="28" t="str">
        <x:v>Platform restraint can shadow coating</x:v>
      </x:c>
      <x:c r="D19" s="28" t="str">
        <x:v>Access contact points</x:v>
      </x:c>
      <x:c r="E19" s="28" t="str">
        <x:v>Touch-up and rework</x:v>
      </x:c>
      <x:c r="F19" s="28" t="str">
        <x:v>Medium</x:v>
      </x:c>
      <x:c r="G19" s="28" t="str">
        <x:v>Medium</x:v>
      </x:c>
      <x:c r="H19" s="28" t="str">
        <x:v>Major</x:v>
      </x:c>
      <x:c r="I19" s="28" t="str">
        <x:v>Restraint detail and coating hold-point plan</x:v>
      </x:c>
      <x:c r="J19" s="28" t="str">
        <x:v>Supplier / painter</x:v>
      </x:c>
      <x:c r="K19" s="28" t="str">
        <x:v>G3 Containment</x:v>
      </x:c>
      <x:c r="L19" s="28" t="str">
        <x:v>Open</x:v>
      </x:c>
    </x:row>
    <x:row r="20">
      <x:c r="A20" s="28" t="str">
        <x:v>R16</x:v>
      </x:c>
      <x:c r="B20" s="28" t="str">
        <x:v>Environment</x:v>
      </x:c>
      <x:c r="C20" s="28" t="str">
        <x:v>Abrasive/wash-water mass balance not prepared</x:v>
      </x:c>
      <x:c r="D20" s="28" t="str">
        <x:v>Containment concept incomplete</x:v>
      </x:c>
      <x:c r="E20" s="28" t="str">
        <x:v>Waste capacity and approval gap</x:v>
      </x:c>
      <x:c r="F20" s="28" t="str">
        <x:v>High</x:v>
      </x:c>
      <x:c r="G20" s="28" t="str">
        <x:v>Medium</x:v>
      </x:c>
      <x:c r="H20" s="28" t="str">
        <x:v>Major</x:v>
      </x:c>
      <x:c r="I20" s="28" t="str">
        <x:v>Mass balance and disposal route</x:v>
      </x:c>
      <x:c r="J20" s="28" t="str">
        <x:v>Environmental lead</x:v>
      </x:c>
      <x:c r="K20" s="28" t="str">
        <x:v>G3 Containment</x:v>
      </x:c>
      <x:c r="L20" s="28" t="str">
        <x:v>Open</x:v>
      </x:c>
    </x:row>
    <x:row r="21">
      <x:c r="A21" s="28" t="str">
        <x:v>R17</x:v>
      </x:c>
      <x:c r="B21" s="28" t="str">
        <x:v>Approvals</x:v>
      </x:c>
      <x:c r="C21" s="28" t="str">
        <x:v>Marine park / port / vessel / insurance pathway not confirmed</x:v>
      </x:c>
      <x:c r="D21" s="28" t="str">
        <x:v>Desktop concept</x:v>
      </x:c>
      <x:c r="E21" s="28" t="str">
        <x:v>Delay or uninsured exposure</x:v>
      </x:c>
      <x:c r="F21" s="28" t="str">
        <x:v>Medium</x:v>
      </x:c>
      <x:c r="G21" s="28" t="str">
        <x:v>High</x:v>
      </x:c>
      <x:c r="H21" s="28" t="str">
        <x:v>Major</x:v>
      </x:c>
      <x:c r="I21" s="28" t="str">
        <x:v>Regulatory and broker confirmation</x:v>
      </x:c>
      <x:c r="J21" s="28" t="str">
        <x:v>STL / Endura</x:v>
      </x:c>
      <x:c r="K21" s="28" t="str">
        <x:v>G12 Approvals</x:v>
      </x:c>
      <x:c r="L21" s="28" t="str">
        <x:v>Open</x:v>
      </x:c>
    </x:row>
  </x:sheetData>
  <x:mergeCells>
    <x:mergeCell ref="A1:L1"/>
    <x:mergeCell ref="A2:L2"/>
  </x:mergeCells>
  <x:conditionalFormatting sqref="H5:H21">
    <x:cfRule type="expression" dxfId="0" priority="1">
      <x:formula>H5="Critical"</x:formula>
    </x:cfRule>
    <x:cfRule type="expression" dxfId="1" priority="2">
      <x:formula>H5="Major"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44" hidden="0" customWidth="1"/>
    <x:col min="5" max="5" width="3" hidden="0" customWidth="1"/>
    <x:col min="6" max="6" width="34" hidden="0" customWidth="1"/>
    <x:col min="7" max="7" width="38" hidden="0" customWidth="1"/>
    <x:col min="8" max="8" width="28" hidden="0" customWidth="1"/>
    <x:col min="9" max="9" width="3" hidden="0" customWidth="1"/>
    <x:col min="10" max="10" width="28" hidden="0" customWidth="1"/>
    <x:col min="11" max="11" width="22" hidden="0" customWidth="1"/>
    <x:col min="12" max="12" width="34" hidden="0" customWidth="1"/>
    <x:col min="13" max="13" width="18" hidden="0" customWidth="1"/>
    <x:col min="14" max="14" width="18" hidden="0" customWidth="1"/>
  </x:cols>
  <x:sheetData>
    <x:row r="1" ht="30" customHeight="1">
      <x:c r="A1" s="5" t="str">
        <x:v>Executive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Decision support only. Yellow flags identify evidence that must be closed before commitment.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20" t="str">
        <x:v>KPI</x:v>
      </x:c>
      <x:c r="B4" s="20" t="str">
        <x:v>Value</x:v>
      </x:c>
      <x:c r="C4" s="20" t="str">
        <x:v>Unit</x:v>
      </x:c>
      <x:c r="D4" s="20" t="str">
        <x:v>Status / meaning</x:v>
      </x:c>
      <x:c r="F4" s="20" t="str">
        <x:v>Recommendation</x:v>
      </x:c>
      <x:c r="G4" s="20" t="str">
        <x:v>Evidence</x:v>
      </x:c>
      <x:c r="H4" s="20" t="str">
        <x:v>Next decision</x:v>
      </x:c>
      <x:c r="J4" s="20" t="str">
        <x:v>Evidence gate</x:v>
      </x:c>
      <x:c r="K4" s="20" t="str">
        <x:v>Current state</x:v>
      </x:c>
      <x:c r="L4" s="20" t="str">
        <x:v>Impact</x:v>
      </x:c>
    </x:row>
    <x:row r="5">
      <x:c r="A5" s="28" t="str">
        <x:v>Stress-case scope</x:v>
      </x:c>
      <x:c r="B5" s="44" t="n">
        <x:f>'03 Assumptions'!C5</x:f>
        <x:v>227</x:v>
      </x:c>
      <x:c r="C5" s="28" t="str">
        <x:v>bents</x:v>
      </x:c>
      <x:c r="D5" s="28" t="str">
        <x:v>Priority boundary pending</x:v>
      </x:c>
      <x:c r="F5" s="28" t="str">
        <x:v>Use hybrid method by bent family</x:v>
      </x:c>
      <x:c r="G5" s="28" t="str">
        <x:v>Appendix D and concept assessment</x:v>
      </x:c>
      <x:c r="H5" s="28" t="str">
        <x:v>Confirm at options workshop</x:v>
      </x:c>
      <x:c r="J5" s="28" t="str">
        <x:v>Bent register</x:v>
      </x:c>
      <x:c r="K5" s="39" t="str">
        <x:v>Open</x:v>
      </x:c>
      <x:c r="L5" s="28" t="str">
        <x:v>Scope and required rate</x:v>
      </x:c>
    </x:row>
    <x:row r="6">
      <x:c r="A6" s="28" t="str">
        <x:v>Required stress-case rate</x:v>
      </x:c>
      <x:c r="B6" s="44" t="n">
        <x:f>'03 Assumptions'!C20</x:f>
        <x:v>3.783333333333333</x:v>
      </x:c>
      <x:c r="C6" s="28" t="str">
        <x:v>QA-closed bents/week</x:v>
      </x:c>
      <x:c r="D6" s="28" t="str">
        <x:v>227 bents / 60 nominal weeks</x:v>
      </x:c>
      <x:c r="F6" s="28" t="str">
        <x:v>Run two-set proving campaign</x:v>
      </x:c>
      <x:c r="G6" s="28" t="str">
        <x:v>Cycle and rate uncertainty</x:v>
      </x:c>
      <x:c r="H6" s="28" t="str">
        <x:v>Approve proving scope</x:v>
      </x:c>
      <x:c r="J6" s="28" t="str">
        <x:v>GGC monetary quote</x:v>
      </x:c>
      <x:c r="K6" s="39" t="str">
        <x:v>Not found</x:v>
      </x:c>
      <x:c r="L6" s="28" t="str">
        <x:v>Commercial comparison</x:v>
      </x:c>
    </x:row>
    <x:row r="7">
      <x:c r="A7" s="28" t="str">
        <x:v>Current claimed safe-access rate</x:v>
      </x:c>
      <x:c r="B7" s="44" t="n">
        <x:f>'05 AAB Claims'!I5</x:f>
        <x:v>0.36073059360730597</x:v>
      </x:c>
      <x:c r="C7" s="28" t="str">
        <x:v>stage eq/week</x:v>
      </x:c>
      <x:c r="D7" s="28" t="str">
        <x:v>Not a completed-bent rate</x:v>
      </x:c>
      <x:c r="F7" s="28" t="str">
        <x:v>Do not select production fleet yet</x:v>
      </x:c>
      <x:c r="G7" s="28" t="str">
        <x:v>Model requires 10-15 sets depending proven case</x:v>
      </x:c>
      <x:c r="H7" s="28" t="str">
        <x:v>Wait for trial</x:v>
      </x:c>
      <x:c r="J7" s="28" t="str">
        <x:v>JUB quote and bathymetry</x:v>
      </x:c>
      <x:c r="K7" s="39" t="str">
        <x:v>Open</x:v>
      </x:c>
      <x:c r="L7" s="28" t="str">
        <x:v>Cost and operability</x:v>
      </x:c>
    </x:row>
    <x:row r="8">
      <x:c r="A8" s="28" t="str">
        <x:v>Current planned programme rate</x:v>
      </x:c>
      <x:c r="B8" s="44" t="n">
        <x:f>'07 Current Baseline'!B7</x:f>
        <x:v>2.345501955671447</x:v>
      </x:c>
      <x:c r="C8" s="28" t="str">
        <x:v>bents/week</x:v>
      </x:c>
      <x:c r="D8" s="28" t="str">
        <x:v>Visible production-window average</x:v>
      </x:c>
      <x:c r="F8" s="28" t="str">
        <x:v>Do not claim cost saving</x:v>
      </x:c>
      <x:c r="G8" s="28" t="str">
        <x:v>Supplier monetary rates absent</x:v>
      </x:c>
      <x:c r="H8" s="28" t="str">
        <x:v>Obtain written quotes</x:v>
      </x:c>
      <x:c r="J8" s="28" t="str">
        <x:v>Headstock containment</x:v>
      </x:c>
      <x:c r="K8" s="39" t="str">
        <x:v>Open</x:v>
      </x:c>
      <x:c r="L8" s="28" t="str">
        <x:v>Cycle / environment</x:v>
      </x:c>
    </x:row>
    <x:row r="9">
      <x:c r="A9" s="28" t="str">
        <x:v>Complete base cycle</x:v>
      </x:c>
      <x:c r="B9" s="44" t="n">
        <x:f>'10 Cycle Model'!C19</x:f>
        <x:v>19.580000000000002</x:v>
      </x:c>
      <x:c r="C9" s="28" t="str">
        <x:v>days/set</x:v>
      </x:c>
      <x:c r="D9" s="28" t="str">
        <x:v>Planning allowance</x:v>
      </x:c>
      <x:c r="F9" s="28" t="str">
        <x:v>Develop service-cell architecture</x:v>
      </x:c>
      <x:c r="G9" s="28" t="str">
        <x:v>JUB scaling can dominate cost</x:v>
      </x:c>
      <x:c r="H9" s="28" t="str">
        <x:v>Marine supplier study</x:v>
      </x:c>
      <x:c r="J9" s="28" t="str">
        <x:v>Below-LAT jacket method</x:v>
      </x:c>
      <x:c r="K9" s="39" t="str">
        <x:v>Open</x:v>
      </x:c>
      <x:c r="L9" s="28" t="str">
        <x:v>Constructability</x:v>
      </x:c>
    </x:row>
    <x:row r="10">
      <x:c r="A10" s="28" t="str">
        <x:v>Sets required - base</x:v>
      </x:c>
      <x:c r="B10" s="44" t="n">
        <x:f>'10 Cycle Model'!O7</x:f>
        <x:v>15</x:v>
      </x:c>
      <x:c r="C10" s="28" t="str">
        <x:v>sets</x:v>
      </x:c>
      <x:c r="D10" s="28" t="str">
        <x:v>Diagnostic only</x:v>
      </x:c>
      <x:c r="J10" s="28" t="str">
        <x:v>Weld trial / repair library</x:v>
      </x:c>
      <x:c r="K10" s="39" t="str">
        <x:v>Open</x:v>
      </x:c>
      <x:c r="L10" s="28" t="str">
        <x:v>Fleet size</x:v>
      </x:c>
    </x:row>
    <x:row r="11">
      <x:c r="A11" s="28" t="str">
        <x:v>Central conditional cycle</x:v>
      </x:c>
      <x:c r="B11" s="44" t="n">
        <x:f>'11 Fleet Sensitivity'!E30</x:f>
        <x:v>13.842500000000003</x:v>
      </x:c>
      <x:c r="C11" s="28" t="str">
        <x:v>days/set</x:v>
      </x:c>
      <x:c r="D11" s="28" t="str">
        <x:v>4 weld crews at 8 lm plus repair library</x:v>
      </x:c>
    </x:row>
    <x:row r="12">
      <x:c r="A12" s="28" t="str">
        <x:v>Sets required - central</x:v>
      </x:c>
      <x:c r="B12" s="44" t="n">
        <x:f>'11 Fleet Sensitivity'!F30</x:f>
        <x:v>11</x:v>
      </x:c>
      <x:c r="C12" s="28" t="str">
        <x:v>sets</x:v>
      </x:c>
      <x:c r="D12" s="28" t="str">
        <x:v>Conditional on trial and repair-library acceptance</x:v>
      </x:c>
    </x:row>
    <x:row r="13">
      <x:c r="A13" s="28" t="str">
        <x:v>Historic access + tooling basis</x:v>
      </x:c>
      <x:c r="B13" s="46" t="n">
        <x:f>'03 Assumptions'!C25</x:f>
        <x:v>9275472.36</x:v>
      </x:c>
      <x:c r="C13" s="28" t="str">
        <x:v>AUD</x:v>
      </x:c>
      <x:c r="D13" s="28" t="str">
        <x:v>Historic contract basis, not remaining cost</x:v>
      </x:c>
    </x:row>
    <x:row r="14">
      <x:c r="A14" s="28" t="str">
        <x:v>Proposed base cost sensitivity</x:v>
      </x:c>
      <x:c r="B14" s="46" t="n">
        <x:f>'14 Cost Model'!F30</x:f>
        <x:v>88259698.8857583</x:v>
      </x:c>
      <x:c r="C14" s="28" t="str">
        <x:v>AUD</x:v>
      </x:c>
      <x:c r="D14" s="28" t="str">
        <x:v>Not a supplier quotation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76d3e3f6fc404c6a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  <x:col min="8" max="8" width="44" hidden="0" customWidth="1"/>
  </x:cols>
  <x:sheetData>
    <x:row r="1" ht="30" customHeight="1">
      <x:c r="A1" s="5" t="str">
        <x:v>Cost Sensitivity and Marine-Cell Scaling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Low/base/high totals use the same quantities and different planning rates. Values are AUD ex GST and are not supplier quotations.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Cost component</x:v>
      </x:c>
      <x:c r="B4" s="20" t="str">
        <x:v>Low</x:v>
      </x:c>
      <x:c r="C4" s="20" t="str">
        <x:v>Base</x:v>
      </x:c>
      <x:c r="D4" s="20" t="str">
        <x:v>High</x:v>
      </x:c>
      <x:c r="E4" s="20" t="str">
        <x:v>Comment</x:v>
      </x:c>
    </x:row>
    <x:row r="5">
      <x:c r="A5" s="28" t="str">
        <x:v>Access / marine before contingency</x:v>
      </x:c>
      <x:c r="B5" s="46" t="n">
        <x:f>'14 Cost Model'!D5*'13 Rate Register'!D5+'14 Cost Model'!D6*'13 Rate Register'!D6+'14 Cost Model'!D7*'13 Rate Register'!D7+'14 Cost Model'!D8*'13 Rate Register'!D8+'14 Cost Model'!D9*'13 Rate Register'!D9+'14 Cost Model'!D10*'13 Rate Register'!D10+'14 Cost Model'!D11*'13 Rate Register'!D11+'14 Cost Model'!D12*'13 Rate Register'!D12+'14 Cost Model'!D13*'13 Rate Register'!D13+'14 Cost Model'!D14*'13 Rate Register'!D13+'14 Cost Model'!D15*'13 Rate Register'!D14+'14 Cost Model'!D16*'13 Rate Register'!D15+'14 Cost Model'!D17*'13 Rate Register'!D16+'14 Cost Model'!D18*'13 Rate Register'!D17+'14 Cost Model'!D19*'13 Rate Register'!D18+'14 Cost Model'!D20*'13 Rate Register'!D19+'14 Cost Model'!D21*'13 Rate Register'!D20+'14 Cost Model'!D22*'13 Rate Register'!D21</x:f>
        <x:v>36090343.89483067</x:v>
      </x:c>
      <x:c r="C5" s="46" t="n">
        <x:f>'14 Cost Model'!D5*'13 Rate Register'!E5+'14 Cost Model'!D6*'13 Rate Register'!E6+'14 Cost Model'!D7*'13 Rate Register'!E7+'14 Cost Model'!D8*'13 Rate Register'!E8+'14 Cost Model'!D9*'13 Rate Register'!E9+'14 Cost Model'!D10*'13 Rate Register'!E10+'14 Cost Model'!D11*'13 Rate Register'!E11+'14 Cost Model'!D12*'13 Rate Register'!E12+'14 Cost Model'!D13*'13 Rate Register'!E13+'14 Cost Model'!D14*'13 Rate Register'!E13+'14 Cost Model'!D15*'13 Rate Register'!E14+'14 Cost Model'!D16*'13 Rate Register'!E15+'14 Cost Model'!D17*'13 Rate Register'!E16+'14 Cost Model'!D18*'13 Rate Register'!E17+'14 Cost Model'!D19*'13 Rate Register'!E18+'14 Cost Model'!D20*'13 Rate Register'!E19+'14 Cost Model'!D21*'13 Rate Register'!E20+'14 Cost Model'!D22*'13 Rate Register'!E21</x:f>
        <x:v>62861037.299465254</x:v>
      </x:c>
      <x:c r="D5" s="46" t="n">
        <x:f>'14 Cost Model'!D5*'13 Rate Register'!F5+'14 Cost Model'!D6*'13 Rate Register'!F6+'14 Cost Model'!D7*'13 Rate Register'!F7+'14 Cost Model'!D8*'13 Rate Register'!F8+'14 Cost Model'!D9*'13 Rate Register'!F9+'14 Cost Model'!D10*'13 Rate Register'!F10+'14 Cost Model'!D11*'13 Rate Register'!F11+'14 Cost Model'!D12*'13 Rate Register'!F12+'14 Cost Model'!D13*'13 Rate Register'!F13+'14 Cost Model'!D14*'13 Rate Register'!F13+'14 Cost Model'!D15*'13 Rate Register'!F14+'14 Cost Model'!D16*'13 Rate Register'!F15+'14 Cost Model'!D17*'13 Rate Register'!F16+'14 Cost Model'!D18*'13 Rate Register'!F17+'14 Cost Model'!D19*'13 Rate Register'!F18+'14 Cost Model'!D20*'13 Rate Register'!F19+'14 Cost Model'!D21*'13 Rate Register'!F20+'14 Cost Model'!D22*'13 Rate Register'!F21</x:f>
        <x:v>103357019.69696969</x:v>
      </x:c>
      <x:c r="E5" s="28" t="str">
        <x:v>R01-R17</x:v>
      </x:c>
    </x:row>
    <x:row r="6">
      <x:c r="A6" s="28" t="str">
        <x:v>Common remediation trades</x:v>
      </x:c>
      <x:c r="B6" s="46" t="n">
        <x:f>'14 Cost Model'!D23*'13 Rate Register'!D22+'14 Cost Model'!D24*'13 Rate Register'!D23+'14 Cost Model'!D25*'13 Rate Register'!D24+'14 Cost Model'!D26*'13 Rate Register'!D25</x:f>
        <x:v>12514517.082400002</x:v>
      </x:c>
      <x:c r="C6" s="46" t="n">
        <x:f>'14 Cost Model'!D23*'13 Rate Register'!E22+'14 Cost Model'!D24*'13 Rate Register'!E23+'14 Cost Model'!D25*'13 Rate Register'!E24+'14 Cost Model'!D26*'13 Rate Register'!E25</x:f>
        <x:v>12826454.1264</x:v>
      </x:c>
      <x:c r="D6" s="46" t="n">
        <x:f>'14 Cost Model'!D23*'13 Rate Register'!F22+'14 Cost Model'!D24*'13 Rate Register'!F23+'14 Cost Model'!D25*'13 Rate Register'!F24+'14 Cost Model'!D26*'13 Rate Register'!F25</x:f>
        <x:v>13147230.277999997</x:v>
      </x:c>
      <x:c r="E6" s="28" t="str">
        <x:v>Contract proxies R18-R21</x:v>
      </x:c>
    </x:row>
    <x:row r="7">
      <x:c r="A7" s="28" t="str">
        <x:v>20% access / marine contingency</x:v>
      </x:c>
      <x:c r="B7" s="46" t="n">
        <x:f>B5*20%</x:f>
        <x:v>7218068.7789661335</x:v>
      </x:c>
      <x:c r="C7" s="46" t="n">
        <x:f>C5*20%</x:f>
        <x:v>12572207.459893052</x:v>
      </x:c>
      <x:c r="D7" s="46" t="n">
        <x:f>D5*20%</x:f>
        <x:v>20671403.939393938</x:v>
      </x:c>
      <x:c r="E7" s="28" t="str">
        <x:v>Planning allowance only</x:v>
      </x:c>
    </x:row>
    <x:row r="8">
      <x:c r="A8" s="50" t="str">
        <x:v>Total indicative campaign</x:v>
      </x:c>
      <x:c r="B8" s="51" t="n">
        <x:f>SUM(B5:B7)</x:f>
        <x:v>55822929.756196804</x:v>
      </x:c>
      <x:c r="C8" s="51" t="n">
        <x:f>SUM(C5:C7)</x:f>
        <x:v>88259698.8857583</x:v>
      </x:c>
      <x:c r="D8" s="51" t="n">
        <x:f>SUM(D5:D7)</x:f>
        <x:v>137175653.91436362</x:v>
      </x:c>
      <x:c r="E8" s="50" t="str">
        <x:v>Not a budget commitment</x:v>
      </x:c>
    </x:row>
    <x:row r="9">
      <x:c r="A9" s="50" t="str">
        <x:v>Indicative cost / stress-case bent</x:v>
      </x:c>
      <x:c r="B9" s="51" t="n">
        <x:f>B8/'03 Assumptions'!C5</x:f>
        <x:v>245915.99011540442</x:v>
      </x:c>
      <x:c r="C9" s="51" t="n">
        <x:f>C8/'03 Assumptions'!C5</x:f>
        <x:v>388809.2461927678</x:v>
      </x:c>
      <x:c r="D9" s="51" t="n">
        <x:f>D8/'03 Assumptions'!C5</x:f>
        <x:v>604298.034865038</x:v>
      </x:c>
      <x:c r="E9" s="50" t="str">
        <x:v>Quantity remains unverified stress case</x:v>
      </x:c>
    </x:row>
    <x:row r="12">
      <x:c r="A12" s="20" t="str">
        <x:v>Complete sets</x:v>
      </x:c>
      <x:c r="B12" s="20" t="str">
        <x:v>Marine cells</x:v>
      </x:c>
      <x:c r="C12" s="20" t="str">
        <x:v>Rate at S3 cycle</x:v>
      </x:c>
      <x:c r="D12" s="20" t="str">
        <x:v>Production weeks</x:v>
      </x:c>
      <x:c r="E12" s="20" t="str">
        <x:v>JUB unit-days</x:v>
      </x:c>
      <x:c r="F12" s="20" t="str">
        <x:v>JUB hire only</x:v>
      </x:c>
      <x:c r="G12" s="20" t="str">
        <x:v>Platform-system capex</x:v>
      </x:c>
      <x:c r="H12" s="20" t="str">
        <x:v>Interpretation</x:v>
      </x:c>
    </x:row>
    <x:row r="13">
      <x:c r="A13" s="28" t="n">
        <x:v>6</x:v>
      </x:c>
      <x:c r="B13" s="28" t="n">
        <x:f>ROUNDUP(A13/'03 Assumptions'!C18,0)</x:f>
        <x:v>2</x:v>
      </x:c>
      <x:c r="C13" s="44" t="n">
        <x:f>A13*'03 Assumptions'!C9/'11 Fleet Sensitivity'!E30*'03 Assumptions'!C11</x:f>
        <x:v>2.210583348383601</x:v>
      </x:c>
      <x:c r="D13" s="44" t="n">
        <x:f>'03 Assumptions'!C5/C13</x:f>
        <x:v>102.68782679738564</x:v>
      </x:c>
      <x:c r="E13" s="44" t="n">
        <x:f>B13*D13*'03 Assumptions'!C9</x:f>
        <x:v>1232.2539215686277</x:v>
      </x:c>
      <x:c r="F13" s="46" t="n">
        <x:f>E13*'13 Rate Register'!G14</x:f>
        <x:v>30806348.03921569</x:v>
      </x:c>
      <x:c r="G13" s="46" t="n">
        <x:f>A13*('13 Rate Register'!G7+'13 Rate Register'!G8+'13 Rate Register'!G9+'13 Rate Register'!G10+'13 Rate Register'!G12)+ROUNDUP(A13/2,0)*'13 Rate Register'!G11</x:f>
        <x:v>6600000</x:v>
      </x:c>
      <x:c r="H13" s="28" t="str">
        <x:v>Service-cell count changes in steps and can dominate cost</x:v>
      </x:c>
    </x:row>
    <x:row r="14">
      <x:c r="A14" s="28" t="n">
        <x:v>8</x:v>
      </x:c>
      <x:c r="B14" s="28" t="n">
        <x:f>ROUNDUP(A14/'03 Assumptions'!C18,0)</x:f>
        <x:v>2</x:v>
      </x:c>
      <x:c r="C14" s="44" t="n">
        <x:f>A14*'03 Assumptions'!C9/'11 Fleet Sensitivity'!E30*'03 Assumptions'!C11</x:f>
        <x:v>2.9474444645114675</x:v>
      </x:c>
      <x:c r="D14" s="44" t="n">
        <x:f>'03 Assumptions'!C5/C14</x:f>
        <x:v>77.01587009803924</x:v>
      </x:c>
      <x:c r="E14" s="44" t="n">
        <x:f>B14*D14*'03 Assumptions'!C9</x:f>
        <x:v>924.1904411764709</x:v>
      </x:c>
      <x:c r="F14" s="46" t="n">
        <x:f>E14*'13 Rate Register'!G14</x:f>
        <x:v>23104761.029411774</x:v>
      </x:c>
      <x:c r="G14" s="46" t="n">
        <x:f>A14*('13 Rate Register'!G7+'13 Rate Register'!G8+'13 Rate Register'!G9+'13 Rate Register'!G10+'13 Rate Register'!G12)+ROUNDUP(A14/2,0)*'13 Rate Register'!G11</x:f>
        <x:v>8800000</x:v>
      </x:c>
      <x:c r="H14" s="28" t="str">
        <x:v>Service-cell count changes in steps and can dominate cost</x:v>
      </x:c>
    </x:row>
    <x:row r="15">
      <x:c r="A15" s="28" t="n">
        <x:v>10</x:v>
      </x:c>
      <x:c r="B15" s="28" t="n">
        <x:f>ROUNDUP(A15/'03 Assumptions'!C18,0)</x:f>
        <x:v>2</x:v>
      </x:c>
      <x:c r="C15" s="44" t="n">
        <x:f>A15*'03 Assumptions'!C9/'11 Fleet Sensitivity'!E30*'03 Assumptions'!C11</x:f>
        <x:v>3.6843055806393346</x:v>
      </x:c>
      <x:c r="D15" s="44" t="n">
        <x:f>'03 Assumptions'!C5/C15</x:f>
        <x:v>61.612696078431384</x:v>
      </x:c>
      <x:c r="E15" s="44" t="n">
        <x:f>B15*D15*'03 Assumptions'!C9</x:f>
        <x:v>739.3523529411766</x:v>
      </x:c>
      <x:c r="F15" s="46" t="n">
        <x:f>E15*'13 Rate Register'!G14</x:f>
        <x:v>18483808.823529415</x:v>
      </x:c>
      <x:c r="G15" s="46" t="n">
        <x:f>A15*('13 Rate Register'!G7+'13 Rate Register'!G8+'13 Rate Register'!G9+'13 Rate Register'!G10+'13 Rate Register'!G12)+ROUNDUP(A15/2,0)*'13 Rate Register'!G11</x:f>
        <x:v>11000000</x:v>
      </x:c>
      <x:c r="H15" s="28" t="str">
        <x:v>Service-cell count changes in steps and can dominate cost</x:v>
      </x:c>
    </x:row>
    <x:row r="16">
      <x:c r="A16" s="28" t="n">
        <x:v>11</x:v>
      </x:c>
      <x:c r="B16" s="28" t="n">
        <x:f>ROUNDUP(A16/'03 Assumptions'!C18,0)</x:f>
        <x:v>3</x:v>
      </x:c>
      <x:c r="C16" s="44" t="n">
        <x:f>A16*'03 Assumptions'!C9/'11 Fleet Sensitivity'!E30*'03 Assumptions'!C11</x:f>
        <x:v>4.052736138703268</x:v>
      </x:c>
      <x:c r="D16" s="44" t="n">
        <x:f>'03 Assumptions'!C5/C16</x:f>
        <x:v>56.011541889483084</x:v>
      </x:c>
      <x:c r="E16" s="44" t="n">
        <x:f>B16*D16*'03 Assumptions'!C9</x:f>
        <x:v>1008.2077540106955</x:v>
      </x:c>
      <x:c r="F16" s="46" t="n">
        <x:f>E16*'13 Rate Register'!G14</x:f>
        <x:v>25205193.850267388</x:v>
      </x:c>
      <x:c r="G16" s="46" t="n">
        <x:f>A16*('13 Rate Register'!G7+'13 Rate Register'!G8+'13 Rate Register'!G9+'13 Rate Register'!G10+'13 Rate Register'!G12)+ROUNDUP(A16/2,0)*'13 Rate Register'!G11</x:f>
        <x:v>12250000</x:v>
      </x:c>
      <x:c r="H16" s="28" t="str">
        <x:v>Service-cell count changes in steps and can dominate cost</x:v>
      </x:c>
    </x:row>
    <x:row r="17">
      <x:c r="A17" s="28" t="n">
        <x:v>13</x:v>
      </x:c>
      <x:c r="B17" s="28" t="n">
        <x:f>ROUNDUP(A17/'03 Assumptions'!C18,0)</x:f>
        <x:v>3</x:v>
      </x:c>
      <x:c r="C17" s="44" t="n">
        <x:f>A17*'03 Assumptions'!C9/'11 Fleet Sensitivity'!E30*'03 Assumptions'!C11</x:f>
        <x:v>4.7895972548311345</x:v>
      </x:c>
      <x:c r="D17" s="44" t="n">
        <x:f>'03 Assumptions'!C5/C17</x:f>
        <x:v>47.39438159879338</x:v>
      </x:c>
      <x:c r="E17" s="44" t="n">
        <x:f>B17*D17*'03 Assumptions'!C9</x:f>
        <x:v>853.0988687782808</x:v>
      </x:c>
      <x:c r="F17" s="46" t="n">
        <x:f>E17*'13 Rate Register'!G14</x:f>
        <x:v>21327471.71945702</x:v>
      </x:c>
      <x:c r="G17" s="46" t="n">
        <x:f>A17*('13 Rate Register'!G7+'13 Rate Register'!G8+'13 Rate Register'!G9+'13 Rate Register'!G10+'13 Rate Register'!G12)+ROUNDUP(A17/2,0)*'13 Rate Register'!G11</x:f>
        <x:v>14450000</x:v>
      </x:c>
      <x:c r="H17" s="28" t="str">
        <x:v>Service-cell count changes in steps and can dominate cost</x:v>
      </x:c>
    </x:row>
    <x:row r="18">
      <x:c r="A18" s="28" t="n">
        <x:v>15</x:v>
      </x:c>
      <x:c r="B18" s="28" t="n">
        <x:f>ROUNDUP(A18/'03 Assumptions'!C18,0)</x:f>
        <x:v>3</x:v>
      </x:c>
      <x:c r="C18" s="44" t="n">
        <x:f>A18*'03 Assumptions'!C9/'11 Fleet Sensitivity'!E30*'03 Assumptions'!C11</x:f>
        <x:v>5.526458370959002</x:v>
      </x:c>
      <x:c r="D18" s="44" t="n">
        <x:f>'03 Assumptions'!C5/C18</x:f>
        <x:v>41.075130718954256</x:v>
      </x:c>
      <x:c r="E18" s="44" t="n">
        <x:f>B18*D18*'03 Assumptions'!C9</x:f>
        <x:v>739.3523529411766</x:v>
      </x:c>
      <x:c r="F18" s="46" t="n">
        <x:f>E18*'13 Rate Register'!G14</x:f>
        <x:v>18483808.823529415</x:v>
      </x:c>
      <x:c r="G18" s="46" t="n">
        <x:f>A18*('13 Rate Register'!G7+'13 Rate Register'!G8+'13 Rate Register'!G9+'13 Rate Register'!G10+'13 Rate Register'!G12)+ROUNDUP(A18/2,0)*'13 Rate Register'!G11</x:f>
        <x:v>16650000</x:v>
      </x:c>
      <x:c r="H18" s="28" t="str">
        <x:v>Service-cell count changes in steps and can dominate cost</x:v>
      </x:c>
    </x:row>
    <x:row r="21">
      <x:c r="A21" s="34" t="str">
        <x:v>Interpretation: the marine access concept is not automatically cheaper. A large fleet supported by multiple JUB cells can cost more than the historic scaffold basis. The option remains valuable only if supplier prices, service-cell architecture and measured QA-closed productivity produce a favourable remaining-cost and completion-confidence outcome.</x:v>
      </x:c>
      <x:c r="B21" s="34"/>
      <x:c r="C21" s="34"/>
      <x:c r="D21" s="34"/>
      <x:c r="E21" s="34"/>
      <x:c r="F21" s="34"/>
      <x:c r="G21" s="34"/>
      <x:c r="H21" s="34"/>
    </x:row>
    <x:row r="22">
      <x:c r="A22" s="34"/>
      <x:c r="B22" s="34"/>
      <x:c r="C22" s="34"/>
      <x:c r="D22" s="34"/>
      <x:c r="E22" s="34"/>
      <x:c r="F22" s="34"/>
      <x:c r="G22" s="34"/>
      <x:c r="H22" s="34"/>
    </x:row>
    <x:row r="23">
      <x:c r="A23" s="34"/>
      <x:c r="B23" s="34"/>
      <x:c r="C23" s="34"/>
      <x:c r="D23" s="34"/>
      <x:c r="E23" s="34"/>
      <x:c r="F23" s="34"/>
      <x:c r="G23" s="34"/>
      <x:c r="H23" s="34"/>
    </x:row>
    <x:row r="24">
      <x:c r="A24" s="34"/>
      <x:c r="B24" s="34"/>
      <x:c r="C24" s="34"/>
      <x:c r="D24" s="34"/>
      <x:c r="E24" s="34"/>
      <x:c r="F24" s="34"/>
      <x:c r="G24" s="34"/>
      <x:c r="H24" s="34"/>
    </x:row>
  </x:sheetData>
  <x:mergeCells>
    <x:mergeCell ref="A1:K1"/>
    <x:mergeCell ref="A2:K2"/>
    <x:mergeCell ref="A21:H24"/>
  </x:mergeCells>
  <x:pageMargins left="0.7" right="0.7" top="0.75" bottom="0.75" header="0.3" footer="0.3"/>
  <x:drawing xmlns:r="http://schemas.openxmlformats.org/officeDocument/2006/relationships" r:id="R793b7e481aee4b7c"/>
</x:worksheet>
</file>