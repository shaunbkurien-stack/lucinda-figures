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Options" sheetId="3" state="visible" r:id="rId3"/>
    <sheet xmlns:r="http://schemas.openxmlformats.org/officeDocument/2006/relationships" name="Inputs" sheetId="4" state="visible" r:id="rId4"/>
    <sheet xmlns:r="http://schemas.openxmlformats.org/officeDocument/2006/relationships" name="Scenarios" sheetId="5" state="visible" r:id="rId5"/>
    <sheet xmlns:r="http://schemas.openxmlformats.org/officeDocument/2006/relationships" name="Sensitivity" sheetId="6" state="visible" r:id="rId6"/>
    <sheet xmlns:r="http://schemas.openxmlformats.org/officeDocument/2006/relationships" name="Programme" sheetId="7" state="visible" r:id="rId7"/>
    <sheet xmlns:r="http://schemas.openxmlformats.org/officeDocument/2006/relationships" name="RateCard" sheetId="8" state="visible" r:id="rId8"/>
    <sheet xmlns:r="http://schemas.openxmlformats.org/officeDocument/2006/relationships" name="NoBase" sheetId="9" state="visible" r:id="rId9"/>
    <sheet xmlns:r="http://schemas.openxmlformats.org/officeDocument/2006/relationships" name="Levers" sheetId="10" state="visible" r:id="rId10"/>
    <sheet xmlns:r="http://schemas.openxmlformats.org/officeDocument/2006/relationships" name="BaseMenu"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00"/>
    <numFmt numFmtId="166" formatCode="\$#,##0"/>
    <numFmt numFmtId="167" formatCode="\$#,##0.00"/>
    <numFmt numFmtId="168" formatCode="d\ mmm\ yyyy"/>
  </numFmts>
  <fonts count="30">
    <font>
      <name val="Calibri"/>
      <charset val="1"/>
      <family val="2"/>
      <color theme="1"/>
      <sz val="11"/>
    </font>
    <font>
      <name val="Arial"/>
      <family val="0"/>
      <sz val="10"/>
    </font>
    <font>
      <name val="Arial"/>
      <family val="0"/>
      <sz val="10"/>
    </font>
    <font>
      <name val="Arial"/>
      <family val="0"/>
      <sz val="10"/>
    </font>
    <font>
      <name val="Georgia"/>
      <charset val="1"/>
      <family val="0"/>
      <b val="1"/>
      <color rgb="FF1A1A1A"/>
      <sz val="14"/>
    </font>
    <font>
      <name val="Arial"/>
      <charset val="1"/>
      <family val="0"/>
      <color rgb="FF8C8C8C"/>
      <sz val="10"/>
    </font>
    <font>
      <name val="Arial"/>
      <charset val="1"/>
      <family val="0"/>
      <b val="1"/>
      <color rgb="FFFFFFFF"/>
      <sz val="10"/>
    </font>
    <font>
      <name val="Arial"/>
      <charset val="1"/>
      <family val="0"/>
      <color rgb="FF1A1A1A"/>
      <sz val="10"/>
    </font>
    <font>
      <name val="Arial"/>
      <charset val="1"/>
      <family val="0"/>
      <color rgb="FF0000FF"/>
      <sz val="10"/>
    </font>
    <font>
      <name val="Arial"/>
      <charset val="1"/>
      <family val="0"/>
      <color rgb="FF8C8C8C"/>
      <sz val="9"/>
    </font>
    <font>
      <name val="Arial"/>
      <charset val="1"/>
      <family val="0"/>
      <b val="1"/>
      <color rgb="FF1A1A1A"/>
      <sz val="10"/>
    </font>
    <font>
      <name val="Arial"/>
      <charset val="1"/>
      <family val="0"/>
      <b val="1"/>
      <color rgb="FFFFFFFF"/>
      <sz val="11"/>
    </font>
    <font>
      <name val="Arial"/>
      <charset val="1"/>
      <family val="2"/>
      <color theme="0"/>
      <sz val="9"/>
    </font>
    <font>
      <name val="Arial"/>
      <charset val="1"/>
      <family val="0"/>
      <b val="1"/>
      <color rgb="FF0000FF"/>
      <sz val="10"/>
    </font>
    <font>
      <name val="Arial"/>
      <charset val="1"/>
      <family val="0"/>
      <color rgb="FF1A1A1A"/>
      <sz val="9"/>
    </font>
    <font>
      <name val="Arial"/>
      <charset val="1"/>
      <family val="0"/>
      <i val="1"/>
      <color rgb="FFE87722"/>
      <sz val="10"/>
    </font>
    <font>
      <name val="Calibri"/>
      <family val="2"/>
      <b val="1"/>
      <color rgb="FF000000"/>
      <sz val="18"/>
    </font>
    <font>
      <name val="Calibri"/>
      <family val="2"/>
      <color rgb="FF000000"/>
      <sz val="10"/>
    </font>
    <font>
      <name val="Arial"/>
      <charset val="1"/>
      <family val="0"/>
      <i val="1"/>
      <color rgb="FF8C8C8C"/>
      <sz val="9"/>
    </font>
    <font>
      <name val="Arial"/>
      <charset val="1"/>
      <family val="0"/>
      <sz val="10"/>
    </font>
    <font>
      <name val="Arial"/>
      <charset val="1"/>
      <family val="0"/>
      <sz val="9"/>
    </font>
    <font>
      <name val="Arial"/>
      <charset val="1"/>
      <family val="0"/>
      <b val="1"/>
      <sz val="10"/>
    </font>
    <font>
      <name val="Georgia"/>
      <charset val="1"/>
      <family val="0"/>
      <b val="1"/>
      <color rgb="FF1A1A1A"/>
      <sz val="13"/>
    </font>
    <font>
      <name val="Georgia"/>
      <charset val="1"/>
      <family val="0"/>
      <b val="1"/>
      <color rgb="FF1A1A1A"/>
      <sz val="12"/>
    </font>
    <font>
      <name val="Arial"/>
      <charset val="1"/>
      <family val="0"/>
      <i val="1"/>
      <color rgb="FF1A1A1A"/>
      <sz val="10"/>
    </font>
    <font>
      <b val="1"/>
      <sz val="11"/>
    </font>
    <font>
      <i val="1"/>
    </font>
    <font>
      <b val="1"/>
    </font>
    <font>
      <i val="1"/>
      <sz val="9"/>
    </font>
    <font>
      <b val="1"/>
      <color rgb="00FFFFFF"/>
    </font>
  </fonts>
  <fills count="11">
    <fill>
      <patternFill/>
    </fill>
    <fill>
      <patternFill patternType="gray125"/>
    </fill>
    <fill>
      <patternFill patternType="solid">
        <fgColor rgb="FF1A1A1A"/>
        <bgColor rgb="FF333300"/>
      </patternFill>
    </fill>
    <fill>
      <patternFill patternType="solid">
        <fgColor rgb="FF8C8C8C"/>
        <bgColor rgb="FF878787"/>
      </patternFill>
    </fill>
    <fill>
      <patternFill patternType="solid">
        <fgColor rgb="FFFAF7F1"/>
        <bgColor rgb="FFFFFFFF"/>
      </patternFill>
    </fill>
    <fill>
      <patternFill patternType="solid">
        <fgColor rgb="FFE87722"/>
        <bgColor rgb="FFFF9900"/>
      </patternFill>
    </fill>
    <fill>
      <patternFill patternType="solid">
        <fgColor rgb="FFFFFF00"/>
        <bgColor rgb="FFFFFF00"/>
      </patternFill>
    </fill>
    <fill>
      <patternFill patternType="solid">
        <fgColor rgb="FFFCE4C8"/>
        <bgColor rgb="FFFAF7F1"/>
      </patternFill>
    </fill>
    <fill>
      <patternFill patternType="solid">
        <fgColor rgb="FFD9EAD3"/>
        <bgColor rgb="FFD9D9D9"/>
      </patternFill>
    </fill>
    <fill>
      <patternFill patternType="solid">
        <fgColor rgb="00EFEFEF"/>
      </patternFill>
    </fill>
    <fill>
      <patternFill patternType="solid"/>
    </fill>
  </fills>
  <borders count="3">
    <border>
      <left/>
      <right/>
      <top/>
      <bottom/>
      <diagonal/>
    </border>
    <border>
      <left style="thin">
        <color rgb="FF8C8C8C"/>
      </left>
      <right style="thin">
        <color rgb="FF8C8C8C"/>
      </right>
      <top style="thin">
        <color rgb="FF8C8C8C"/>
      </top>
      <bottom style="thin">
        <color rgb="FF8C8C8C"/>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7">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6" fontId="10" fillId="0" borderId="1" applyAlignment="1" pivotButton="0" quotePrefix="0" xfId="0">
      <alignment horizontal="general" vertical="top" wrapText="1"/>
    </xf>
    <xf numFmtId="166" fontId="10" fillId="0" borderId="1" applyAlignment="1" pivotButton="0" quotePrefix="0" xfId="0">
      <alignment horizontal="general" vertical="bottom"/>
    </xf>
    <xf numFmtId="0" fontId="7" fillId="0" borderId="1" applyAlignment="1" pivotButton="0" quotePrefix="0" xfId="0">
      <alignment horizontal="right" vertical="bottom"/>
    </xf>
    <xf numFmtId="0" fontId="10" fillId="0" borderId="1"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0" fontId="21" fillId="0" borderId="0" applyAlignment="1" pivotButton="0" quotePrefix="0" xfId="0">
      <alignment horizontal="general" vertical="bottom"/>
    </xf>
    <xf numFmtId="0" fontId="20" fillId="0" borderId="0" applyAlignment="1" pivotButton="0" quotePrefix="0" xfId="0">
      <alignment horizontal="general" vertical="bottom"/>
    </xf>
    <xf numFmtId="0" fontId="19" fillId="0" borderId="0" applyAlignment="1" pivotButton="0" quotePrefix="0" xfId="0">
      <alignment horizontal="general" vertical="bottom"/>
    </xf>
    <xf numFmtId="2" fontId="8" fillId="0" borderId="0" applyAlignment="1" pivotButton="0" quotePrefix="0" xfId="0">
      <alignment horizontal="general" vertical="bottom"/>
    </xf>
    <xf numFmtId="2" fontId="19" fillId="0" borderId="0" applyAlignment="1" pivotButton="0" quotePrefix="0" xfId="0">
      <alignment horizontal="general" vertical="bottom"/>
    </xf>
    <xf numFmtId="1" fontId="19" fillId="0" borderId="0" applyAlignment="1" pivotButton="0" quotePrefix="0" xfId="0">
      <alignment horizontal="general" vertical="bottom"/>
    </xf>
    <xf numFmtId="166" fontId="19"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2" borderId="1" applyAlignment="1" pivotButton="0" quotePrefix="0" xfId="0">
      <alignment horizontal="general" vertical="center" wrapText="1"/>
    </xf>
    <xf numFmtId="0" fontId="6" fillId="3" borderId="1" applyAlignment="1" pivotButton="0" quotePrefix="0" xfId="0">
      <alignment horizontal="general" vertical="bottom" wrapText="1"/>
    </xf>
    <xf numFmtId="0" fontId="0" fillId="3" borderId="1" applyAlignment="1" pivotButton="0" quotePrefix="0" xfId="0">
      <alignment horizontal="general" vertical="bottom" wrapText="1"/>
    </xf>
    <xf numFmtId="0" fontId="7" fillId="0" borderId="1" applyAlignment="1" pivotButton="0" quotePrefix="0" xfId="0">
      <alignment horizontal="general" vertical="bottom" wrapText="1"/>
    </xf>
    <xf numFmtId="2" fontId="8" fillId="0" borderId="1" applyAlignment="1" pivotButton="0" quotePrefix="0" xfId="0">
      <alignment horizontal="center" vertical="bottom" wrapText="1"/>
    </xf>
    <xf numFmtId="2" fontId="7" fillId="0" borderId="1" applyAlignment="1" pivotButton="0" quotePrefix="0" xfId="0">
      <alignment horizontal="center" vertical="bottom" wrapText="1"/>
    </xf>
    <xf numFmtId="0" fontId="9" fillId="0" borderId="1" applyAlignment="1" pivotButton="0" quotePrefix="0" xfId="0">
      <alignment horizontal="general" vertical="top" wrapText="1"/>
    </xf>
    <xf numFmtId="164" fontId="7" fillId="0" borderId="1" applyAlignment="1" pivotButton="0" quotePrefix="0" xfId="0">
      <alignment horizontal="center" vertical="bottom" wrapText="1"/>
    </xf>
    <xf numFmtId="0" fontId="10" fillId="4" borderId="1" applyAlignment="1" pivotButton="0" quotePrefix="0" xfId="0">
      <alignment horizontal="general" vertical="bottom" wrapText="1"/>
    </xf>
    <xf numFmtId="2" fontId="10" fillId="4" borderId="1" applyAlignment="1" pivotButton="0" quotePrefix="0" xfId="0">
      <alignment horizontal="center" vertical="bottom" wrapText="1"/>
    </xf>
    <xf numFmtId="0" fontId="9" fillId="4" borderId="1" applyAlignment="1" pivotButton="0" quotePrefix="0" xfId="0">
      <alignment horizontal="general" vertical="top" wrapText="1"/>
    </xf>
    <xf numFmtId="165" fontId="7" fillId="0" borderId="1" applyAlignment="1" pivotButton="0" quotePrefix="0" xfId="0">
      <alignment horizontal="center" vertical="bottom" wrapText="1"/>
    </xf>
    <xf numFmtId="0" fontId="11" fillId="5" borderId="1" applyAlignment="1" pivotButton="0" quotePrefix="0" xfId="0">
      <alignment horizontal="general" vertical="bottom" wrapText="1"/>
    </xf>
    <xf numFmtId="1" fontId="11" fillId="5" borderId="1" applyAlignment="1" pivotButton="0" quotePrefix="0" xfId="0">
      <alignment horizontal="center" vertical="bottom" wrapText="1"/>
    </xf>
    <xf numFmtId="0" fontId="12" fillId="5" borderId="1" applyAlignment="1" pivotButton="0" quotePrefix="0" xfId="0">
      <alignment horizontal="general" vertical="top" wrapText="1"/>
    </xf>
    <xf numFmtId="1" fontId="7" fillId="0" borderId="1" applyAlignment="1" pivotButton="0" quotePrefix="0" xfId="0">
      <alignment horizontal="center" vertical="bottom" wrapText="1"/>
    </xf>
    <xf numFmtId="1" fontId="8" fillId="0" borderId="1" applyAlignment="1" pivotButton="0" quotePrefix="0" xfId="0">
      <alignment horizontal="center" vertical="bottom" wrapText="1"/>
    </xf>
    <xf numFmtId="1" fontId="10" fillId="4" borderId="1" applyAlignment="1" pivotButton="0" quotePrefix="0" xfId="0">
      <alignment horizontal="center" vertical="bottom" wrapText="1"/>
    </xf>
    <xf numFmtId="166" fontId="7" fillId="0" borderId="1" applyAlignment="1" pivotButton="0" quotePrefix="0" xfId="0">
      <alignment horizontal="center" vertical="bottom" wrapText="1"/>
    </xf>
    <xf numFmtId="0" fontId="10" fillId="0" borderId="1" applyAlignment="1" pivotButton="0" quotePrefix="0" xfId="0">
      <alignment horizontal="general" vertical="bottom" wrapText="1"/>
    </xf>
    <xf numFmtId="166" fontId="10" fillId="0" borderId="1" applyAlignment="1" pivotButton="0" quotePrefix="0" xfId="0">
      <alignment horizontal="center" vertical="bottom" wrapText="1"/>
    </xf>
    <xf numFmtId="166" fontId="11" fillId="5" borderId="1" applyAlignment="1" pivotButton="0" quotePrefix="0" xfId="0">
      <alignment horizontal="center" vertical="bottom" wrapText="1"/>
    </xf>
    <xf numFmtId="0" fontId="9" fillId="5" borderId="1" applyAlignment="1" pivotButton="0" quotePrefix="0" xfId="0">
      <alignment horizontal="general" vertical="top" wrapText="1"/>
    </xf>
    <xf numFmtId="166" fontId="13" fillId="0" borderId="1" applyAlignment="1" pivotButton="0" quotePrefix="0" xfId="0">
      <alignment horizontal="center" vertical="bottom" wrapText="1"/>
    </xf>
    <xf numFmtId="0" fontId="10"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0" applyAlignment="1" pivotButton="0" quotePrefix="0" xfId="0">
      <alignment horizontal="general" vertical="bottom" wrapText="1"/>
    </xf>
    <xf numFmtId="0" fontId="26" fillId="0" borderId="0" pivotButton="0" quotePrefix="0" xfId="0"/>
    <xf numFmtId="0" fontId="18" fillId="0" borderId="0" applyAlignment="1" pivotButton="0" quotePrefix="0" xfId="0">
      <alignment horizontal="general" vertical="bottom" wrapText="1"/>
    </xf>
    <xf numFmtId="0" fontId="6" fillId="2" borderId="1" applyAlignment="1" pivotButton="0" quotePrefix="0" xfId="0">
      <alignment horizontal="center" vertical="center" wrapText="1"/>
    </xf>
    <xf numFmtId="0" fontId="8" fillId="0" borderId="1" applyAlignment="1" pivotButton="0" quotePrefix="0" xfId="0">
      <alignment horizontal="general" vertical="bottom" wrapText="1"/>
    </xf>
    <xf numFmtId="0" fontId="7" fillId="0" borderId="1" applyAlignment="1" pivotButton="0" quotePrefix="0" xfId="0">
      <alignment horizontal="center" vertical="bottom" wrapText="1"/>
    </xf>
    <xf numFmtId="0" fontId="8" fillId="6" borderId="1" applyAlignment="1" pivotButton="0" quotePrefix="0" xfId="0">
      <alignment horizontal="general" vertical="bottom" wrapText="1"/>
    </xf>
    <xf numFmtId="9" fontId="8" fillId="6" borderId="1" applyAlignment="1" pivotButton="0" quotePrefix="0" xfId="0">
      <alignment horizontal="general" vertical="bottom" wrapText="1"/>
    </xf>
    <xf numFmtId="0" fontId="19" fillId="0" borderId="1" applyAlignment="1" pivotButton="0" quotePrefix="0" xfId="0">
      <alignment horizontal="general" vertical="bottom" wrapText="1"/>
    </xf>
    <xf numFmtId="166" fontId="8" fillId="0" borderId="1" applyAlignment="1" pivotButton="0" quotePrefix="0" xfId="0">
      <alignment horizontal="general" vertical="bottom" wrapText="1"/>
    </xf>
    <xf numFmtId="0" fontId="20" fillId="0" borderId="1" applyAlignment="1" pivotButton="0" quotePrefix="0" xfId="0">
      <alignment horizontal="general" vertical="top" wrapText="1"/>
    </xf>
    <xf numFmtId="166" fontId="8" fillId="6" borderId="1" applyAlignment="1" pivotButton="0" quotePrefix="0" xfId="0">
      <alignment horizontal="general" vertical="bottom" wrapText="1"/>
    </xf>
    <xf numFmtId="9" fontId="8" fillId="0" borderId="1" applyAlignment="1" pivotButton="0" quotePrefix="0" xfId="0">
      <alignment horizontal="general" vertical="bottom" wrapText="1"/>
    </xf>
    <xf numFmtId="0" fontId="19" fillId="0" borderId="0" applyAlignment="1" pivotButton="0" quotePrefix="0" xfId="0">
      <alignment horizontal="general" vertical="bottom" wrapText="1"/>
    </xf>
    <xf numFmtId="0" fontId="8" fillId="0" borderId="0" applyAlignment="1" pivotButton="0" quotePrefix="0" xfId="0">
      <alignment horizontal="general" vertical="bottom"/>
    </xf>
    <xf numFmtId="0" fontId="20" fillId="0" borderId="0" applyAlignment="1" pivotButton="0" quotePrefix="0" xfId="0">
      <alignment horizontal="general" vertical="bottom"/>
    </xf>
    <xf numFmtId="0" fontId="19" fillId="2" borderId="1" applyAlignment="1" pivotButton="0" quotePrefix="0" xfId="0">
      <alignment horizontal="general" vertical="center" wrapText="1"/>
    </xf>
    <xf numFmtId="9" fontId="8" fillId="2" borderId="1" applyAlignment="1" pivotButton="0" quotePrefix="0" xfId="0">
      <alignment horizontal="general" vertical="center" wrapText="1"/>
    </xf>
    <xf numFmtId="0" fontId="20" fillId="2" borderId="1" applyAlignment="1" pivotButton="0" quotePrefix="0" xfId="0">
      <alignment horizontal="general" vertical="center" wrapText="1"/>
    </xf>
    <xf numFmtId="0" fontId="0" fillId="0" borderId="1" applyAlignment="1" pivotButton="0" quotePrefix="0" xfId="0">
      <alignment horizontal="general" vertical="bottom" wrapText="1"/>
    </xf>
    <xf numFmtId="0" fontId="9" fillId="0" borderId="1" applyAlignment="1" pivotButton="0" quotePrefix="0" xfId="0">
      <alignment horizontal="general" vertical="bottom" wrapText="1"/>
    </xf>
    <xf numFmtId="166" fontId="10" fillId="4" borderId="1" applyAlignment="1" pivotButton="0" quotePrefix="0" xfId="0">
      <alignment horizontal="general" vertical="bottom" wrapText="1"/>
    </xf>
    <xf numFmtId="0" fontId="0" fillId="4" borderId="1" applyAlignment="1" pivotButton="0" quotePrefix="0" xfId="0">
      <alignment horizontal="general" vertical="bottom" wrapText="1"/>
    </xf>
    <xf numFmtId="0" fontId="19" fillId="0" borderId="0" applyAlignment="1" pivotButton="0" quotePrefix="0" xfId="0">
      <alignment horizontal="general" vertical="bottom"/>
    </xf>
    <xf numFmtId="167" fontId="8" fillId="0" borderId="0" applyAlignment="1" pivotButton="0" quotePrefix="0" xfId="0">
      <alignment horizontal="general" vertical="bottom"/>
    </xf>
    <xf numFmtId="1" fontId="8" fillId="0" borderId="0" applyAlignment="1" pivotButton="0" quotePrefix="0" xfId="0">
      <alignment horizontal="general" vertical="bottom"/>
    </xf>
    <xf numFmtId="166" fontId="19" fillId="0" borderId="0" applyAlignment="1" pivotButton="0" quotePrefix="0" xfId="0">
      <alignment horizontal="general" vertical="bottom"/>
    </xf>
    <xf numFmtId="0" fontId="21" fillId="0" borderId="0" applyAlignment="1" pivotButton="0" quotePrefix="0" xfId="0">
      <alignment horizontal="general" vertical="bottom"/>
    </xf>
    <xf numFmtId="166" fontId="21" fillId="0" borderId="0" applyAlignment="1" pivotButton="0" quotePrefix="0" xfId="0">
      <alignment horizontal="general" vertical="bottom"/>
    </xf>
    <xf numFmtId="167" fontId="19" fillId="0" borderId="0" applyAlignment="1" pivotButton="0" quotePrefix="0" xfId="0">
      <alignment horizontal="general" vertical="bottom"/>
    </xf>
    <xf numFmtId="0" fontId="27" fillId="0" borderId="0" pivotButton="0" quotePrefix="0" xfId="0"/>
    <xf numFmtId="0" fontId="0" fillId="0" borderId="0" applyAlignment="1" pivotButton="0" quotePrefix="0" xfId="0">
      <alignment horizontal="general" vertical="bottom"/>
    </xf>
    <xf numFmtId="0" fontId="22"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bottom"/>
    </xf>
    <xf numFmtId="9" fontId="8" fillId="0" borderId="1" applyAlignment="1" pivotButton="0" quotePrefix="0" xfId="0">
      <alignment horizontal="general" vertical="bottom"/>
    </xf>
    <xf numFmtId="2" fontId="7" fillId="0" borderId="1" applyAlignment="1" pivotButton="0" quotePrefix="0" xfId="0">
      <alignment horizontal="general" vertical="bottom"/>
    </xf>
    <xf numFmtId="1" fontId="10" fillId="7" borderId="1" applyAlignment="1" pivotButton="0" quotePrefix="0" xfId="0">
      <alignment horizontal="general" vertical="bottom"/>
    </xf>
    <xf numFmtId="1" fontId="10" fillId="8" borderId="1" applyAlignment="1" pivotButton="0" quotePrefix="0" xfId="0">
      <alignment horizontal="general" vertical="bottom"/>
    </xf>
    <xf numFmtId="0" fontId="23" fillId="0" borderId="0" applyAlignment="1" pivotButton="0" quotePrefix="0" xfId="0">
      <alignment horizontal="general" vertical="bottom"/>
    </xf>
    <xf numFmtId="1" fontId="10" fillId="0" borderId="1" applyAlignment="1" pivotButton="0" quotePrefix="0" xfId="0">
      <alignment horizontal="center" vertical="bottom"/>
    </xf>
    <xf numFmtId="0" fontId="24" fillId="0" borderId="0" applyAlignment="1" pivotButton="0" quotePrefix="0" xfId="0">
      <alignment horizontal="general" vertical="bottom"/>
    </xf>
    <xf numFmtId="1" fontId="19" fillId="0" borderId="0" applyAlignment="1" pivotButton="0" quotePrefix="0" xfId="0">
      <alignment horizontal="general" vertical="bottom"/>
    </xf>
    <xf numFmtId="2" fontId="19" fillId="0" borderId="0" applyAlignment="1" pivotButton="0" quotePrefix="0" xfId="0">
      <alignment horizontal="general" vertical="bottom"/>
    </xf>
    <xf numFmtId="168" fontId="8" fillId="0" borderId="0" applyAlignment="1" pivotButton="0" quotePrefix="0" xfId="0">
      <alignment horizontal="general" vertical="bottom"/>
    </xf>
    <xf numFmtId="168" fontId="19" fillId="0" borderId="0" applyAlignment="1" pivotButton="0" quotePrefix="0" xfId="0">
      <alignment horizontal="general" vertical="bottom"/>
    </xf>
    <xf numFmtId="9" fontId="19" fillId="0" borderId="0" applyAlignment="1" pivotButton="0" quotePrefix="0" xfId="0">
      <alignment horizontal="general" vertical="bottom"/>
    </xf>
    <xf numFmtId="2" fontId="8" fillId="0" borderId="0" applyAlignment="1" pivotButton="0" quotePrefix="0" xfId="0">
      <alignment horizontal="general" vertical="bottom"/>
    </xf>
    <xf numFmtId="0" fontId="25" fillId="0" borderId="0" pivotButton="0" quotePrefix="0" xfId="0"/>
    <xf numFmtId="0" fontId="27" fillId="9" borderId="0" pivotButton="0" quotePrefix="0" xfId="0"/>
    <xf numFmtId="0" fontId="28" fillId="0" borderId="0" pivotButton="0" quotePrefix="0" xfId="0"/>
    <xf numFmtId="0" fontId="29" fillId="10" borderId="2" pivotButton="0" quotePrefix="0" xfId="0"/>
    <xf numFmtId="0" fontId="0" fillId="0" borderId="2" pivotButton="0" quotePrefix="0" xfId="0"/>
    <xf numFmtId="2" fontId="0" fillId="0" borderId="2" pivotButton="0" quotePrefix="0" xfId="0"/>
    <xf numFmtId="165" fontId="0" fillId="0" borderId="2" pivotButton="0" quotePrefix="0" xfId="0"/>
    <xf numFmtId="164" fontId="0" fillId="0" borderId="2" pivotButton="0" quotePrefix="0" xfId="0"/>
    <xf numFmtId="2" fontId="27" fillId="0" borderId="0" pivotButton="0" quotePrefix="0" xfId="0"/>
    <xf numFmtId="0" fontId="29" fillId="10" borderId="0" pivotButton="0" quotePrefix="0" xfId="0"/>
    <xf numFmtId="2"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AF7F1"/>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4C8"/>
      <rgbColor rgb="FF3366FF"/>
      <rgbColor rgb="FF33CCCC"/>
      <rgbColor rgb="FF99CC00"/>
      <rgbColor rgb="FFFFCC00"/>
      <rgbColor rgb="FFFF9900"/>
      <rgbColor rgb="FFE87722"/>
      <rgbColor rgb="FF4F81BD"/>
      <rgbColor rgb="FF8C8C8C"/>
      <rgbColor rgb="FF003366"/>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Marine base scenarios, access $M</a:t>
            </a:r>
          </a:p>
        </rich>
      </tx>
    </title>
    <plotArea>
      <barChart>
        <barDir val="col"/>
        <grouping val="clustered"/>
        <ser>
          <idx val="0"/>
          <order val="0"/>
          <spPr>
            <a:ln xmlns:a="http://schemas.openxmlformats.org/drawingml/2006/main">
              <a:prstDash val="solid"/>
            </a:ln>
          </spPr>
          <cat>
            <numRef>
              <f>'Dashboard'!$A$3:$A$10</f>
            </numRef>
          </cat>
          <val>
            <numRef>
              <f>'Dashboard'!$B$3:$B$10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Fronts by availability case (Opt1 / Opt2 / Compressed)</a:t>
            </a:r>
          </a:p>
        </rich>
      </tx>
    </title>
    <plotArea>
      <barChart>
        <barDir val="col"/>
        <grouping val="clustered"/>
        <ser>
          <idx val="0"/>
          <order val="0"/>
          <spPr>
            <a:ln xmlns:a="http://schemas.openxmlformats.org/drawingml/2006/main">
              <a:prstDash val="solid"/>
            </a:ln>
          </spPr>
          <cat>
            <numRef>
              <f>'Dashboard'!$A$14:$A$18</f>
            </numRef>
          </cat>
          <val>
            <numRef>
              <f>'Dashboard'!$B$13:$B$18</f>
            </numRef>
          </val>
        </ser>
        <ser>
          <idx val="1"/>
          <order val="1"/>
          <spPr>
            <a:ln xmlns:a="http://schemas.openxmlformats.org/drawingml/2006/main">
              <a:prstDash val="solid"/>
            </a:ln>
          </spPr>
          <cat>
            <numRef>
              <f>'Dashboard'!$A$14:$A$18</f>
            </numRef>
          </cat>
          <val>
            <numRef>
              <f>'Dashboard'!$C$13:$C$18</f>
            </numRef>
          </val>
        </ser>
        <ser>
          <idx val="2"/>
          <order val="2"/>
          <spPr>
            <a:ln xmlns:a="http://schemas.openxmlformats.org/drawingml/2006/main">
              <a:prstDash val="solid"/>
            </a:ln>
          </spPr>
          <cat>
            <numRef>
              <f>'Dashboard'!$A$14:$A$18</f>
            </numRef>
          </cat>
          <val>
            <numRef>
              <f>'Dashboard'!$D$13:$D$18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Cumulative bents: marine method vs claimed 0.36/wk</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'Dashboard'!$A$22:$A$30</f>
            </numRef>
          </cat>
          <val>
            <numRef>
              <f>'Dashboard'!$B$21:$B$30</f>
            </numRef>
          </val>
        </ser>
        <ser>
          <idx val="1"/>
          <order val="1"/>
          <spPr>
            <a:ln xmlns:a="http://schemas.openxmlformats.org/drawingml/2006/main">
              <a:prstDash val="solid"/>
            </a:ln>
          </spPr>
          <marker>
            <symbol val="none"/>
            <spPr>
              <a:ln xmlns:a="http://schemas.openxmlformats.org/drawingml/2006/main">
                <a:prstDash val="solid"/>
              </a:ln>
            </spPr>
          </marker>
          <cat>
            <numRef>
              <f>'Dashboard'!$A$22:$A$30</f>
            </numRef>
          </cat>
          <val>
            <numRef>
              <f>'Dashboard'!$C$21:$C$30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Option 1 cost build to $16.04M</a:t>
            </a:r>
          </a:p>
        </rich>
      </tx>
    </title>
    <plotArea>
      <barChart>
        <barDir val="col"/>
        <grouping val="clustered"/>
        <ser>
          <idx val="0"/>
          <order val="0"/>
          <spPr>
            <a:ln xmlns:a="http://schemas.openxmlformats.org/drawingml/2006/main">
              <a:prstDash val="solid"/>
            </a:ln>
          </spPr>
          <cat>
            <numRef>
              <f>'Dashboard'!$A$34:$A$38</f>
            </numRef>
          </cat>
          <val>
            <numRef>
              <f>'Dashboard'!$B$33:$B$38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AU" sz="1800" b="1" strike="noStrike" spc="-1">
                <a:solidFill>
                  <a:srgbClr val="000000"/>
                </a:solidFill>
                <a:latin typeface="Calibri"/>
              </a:defRPr>
            </a:pPr>
            <a:r>
              <a:rPr lang="en-AU" sz="1800" b="1" strike="noStrike" spc="-1">
                <a:solidFill>
                  <a:srgbClr val="000000"/>
                </a:solidFill>
                <a:latin typeface="Calibri"/>
              </a:rPr>
              <a:t>Work fronts required</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Options!$B$15</f>
              <numCache>
                <formatCode>0</formatCode>
                <ptCount val="1"/>
                <pt idx="0">
                  <v>8</v>
                </pt>
              </numCache>
            </numRef>
          </val>
        </ser>
        <ser>
          <idx val="1"/>
          <order val="1"/>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Options!$A$15</f>
              <strCache>
                <ptCount val="1"/>
                <pt idx="0">
                  <v>WORK FRONTS REQUIRED</v>
                </pt>
              </strCache>
            </strRef>
          </cat>
          <val>
            <numRef>
              <f>Options!$C$15</f>
              <numCache>
                <formatCode>0</formatCode>
                <ptCount val="1"/>
                <pt idx="0">
                  <v>5</v>
                </pt>
              </numCache>
            </numRef>
          </val>
        </ser>
        <gapWidth val="150"/>
        <overlap val="0"/>
        <axId val="71196881"/>
        <axId val="23451709"/>
      </barChart>
      <catAx>
        <axId val="71196881"/>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23451709"/>
        <crosses val="autoZero"/>
        <auto val="1"/>
        <lblAlgn val="ctr"/>
        <lblOffset val="100"/>
        <noMultiLvlLbl val="0"/>
      </catAx>
      <valAx>
        <axId val="23451709"/>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7119688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17</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33</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twoCellAnchor editAs="oneCell">
    <from>
      <col>4</col>
      <colOff>216000</colOff>
      <row>3</row>
      <rowOff>563760</rowOff>
    </from>
    <to>
      <col>10</col>
      <colOff>504000</colOff>
      <row>12</row>
      <rowOff>129240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style="89" min="1" max="1"/>
  </cols>
  <sheetData>
    <row r="1">
      <c r="A1" s="148" t="inlineStr">
        <is>
          <t>ED-018-2026-06  ACCESS OPTIONS MODEL  REV B</t>
        </is>
      </c>
    </row>
    <row r="2">
      <c r="A2" s="149" t="inlineStr">
        <is>
          <t>Companion to report ED-018-2026-02 Rev B, 26 August 2026. Commercial in confidence.</t>
        </is>
      </c>
    </row>
    <row r="3">
      <c r="A3" s="149" t="inlineStr"/>
    </row>
    <row r="4">
      <c r="A4" s="148" t="inlineStr">
        <is>
          <t>What changed at Rev B</t>
        </is>
      </c>
    </row>
    <row r="5">
      <c r="A5" s="149" t="inlineStr">
        <is>
          <t>Scenarios sheet added: the marine base with and without, at current and serviced trade productivity, with live formulas.</t>
        </is>
      </c>
    </row>
    <row r="6">
      <c r="A6" s="149" t="inlineStr">
        <is>
          <t>BaseMenu sheet added: concepts C0 to C6, each with its own cycle and availability assumption.</t>
        </is>
      </c>
    </row>
    <row r="7">
      <c r="A7" s="149" t="inlineStr">
        <is>
          <t>Levers sheet rebuilt per option so every package reconciles from the lines above it.</t>
        </is>
      </c>
    </row>
    <row r="8">
      <c r="A8" s="149" t="inlineStr">
        <is>
          <t>Inputs sheet extended with the written marine rate references of 24 August 2026.</t>
        </is>
      </c>
    </row>
    <row r="9">
      <c r="A9" s="149" t="inlineStr">
        <is>
          <t>Sensitivity relabelled: the reported case is the marine review upper band; the old model base tag removed.</t>
        </is>
      </c>
    </row>
    <row r="10">
      <c r="A10" s="149" t="inlineStr">
        <is>
          <t>Programme sheet extended with Option 1, zone phased and compressed day finish dates.</t>
        </is>
      </c>
    </row>
    <row r="11">
      <c r="A11" s="149" t="inlineStr"/>
    </row>
    <row r="12">
      <c r="A12" s="149" t="inlineStr">
        <is>
          <t>Reading order: Inputs, Options, Scenarios, BaseMenu, Levers, Sensitivity, Programme, NoBase, RateCard.</t>
        </is>
      </c>
    </row>
    <row r="13">
      <c r="A13" s="149" t="inlineStr">
        <is>
          <t>Every figure quoted in the report traces to one of these sheets.</t>
        </is>
      </c>
    </row>
    <row r="14">
      <c r="A14" t="inlineStr"/>
    </row>
    <row r="15">
      <c r="A15" s="148" t="inlineStr">
        <is>
          <t>How to read this model, for a first time reader</t>
        </is>
      </c>
    </row>
    <row r="16">
      <c r="A16" t="inlineStr">
        <is>
          <t>The job: 227 jetty pilebents must be remediated by end 2028, which needs 4.5 completed bents a week; the current scaffold access method delivers well under one.</t>
        </is>
      </c>
    </row>
    <row r="17">
      <c r="A17" t="inlineStr">
        <is>
          <t>The proposal: floating work stages lifted on chain blocks and moved bent to bent, served by a floating marine base, so the access is built once instead of 227 times.</t>
        </is>
      </c>
    </row>
    <row r="18">
      <c r="A18" t="inlineStr">
        <is>
          <t>This model prices that access provision only; the trade works are unchanged and excluded by scope.</t>
        </is>
      </c>
    </row>
    <row r="19">
      <c r="A19" t="inlineStr">
        <is>
          <t>Start at Inputs for every rate and its source, then Options for the two working patterns, then Scenarios for the marine base question, then Dashboard for the pictures.</t>
        </is>
      </c>
    </row>
    <row r="20">
      <c r="A20" t="inlineStr">
        <is>
          <t>Every headline figure in the report traces to a cell here, and the Independent Checks block at the foot of Scenarios shows each one re derived outside the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48" t="inlineStr">
        <is>
          <t>DASHBOARD  all series formula fed from Scenarios and Sensitivity</t>
        </is>
      </c>
      <c r="L1" s="168" t="inlineStr">
        <is>
          <t>PURPOSE: the headline charts, formula fed; nothing here is typed independently of the sheets.</t>
        </is>
      </c>
    </row>
    <row r="2"/>
    <row r="3">
      <c r="A3" s="149" t="inlineStr">
        <is>
          <t>No marine base</t>
        </is>
      </c>
      <c r="B3" s="149">
        <f>Scenarios!H5</f>
        <v/>
      </c>
    </row>
    <row r="4">
      <c r="A4" s="149" t="inlineStr">
        <is>
          <t>Barge whole campaign, conservative</t>
        </is>
      </c>
      <c r="B4" s="149">
        <f>Scenarios!H6</f>
        <v/>
      </c>
    </row>
    <row r="5">
      <c r="A5" s="149" t="inlineStr">
        <is>
          <t>Barge, serviced productivity 6.5</t>
        </is>
      </c>
      <c r="B5" s="149">
        <f>Scenarios!H7</f>
        <v/>
      </c>
    </row>
    <row r="6">
      <c r="A6" s="149" t="inlineStr">
        <is>
          <t>Barge, serviced optimistic 6.0</t>
        </is>
      </c>
      <c r="B6" s="149">
        <f>Scenarios!H8</f>
        <v/>
      </c>
    </row>
    <row r="7">
      <c r="A7" s="149" t="inlineStr">
        <is>
          <t>Serviced, fleet trimmed to 7</t>
        </is>
      </c>
      <c r="B7" s="149" t="n">
        <v>15.41</v>
      </c>
    </row>
    <row r="8">
      <c r="A8" s="149" t="inlineStr">
        <is>
          <t>Barge Zone 3 season one only</t>
        </is>
      </c>
      <c r="B8" s="149" t="n">
        <v>14.68</v>
      </c>
    </row>
    <row r="9">
      <c r="A9" s="149" t="inlineStr">
        <is>
          <t>Moored spud whole campaign</t>
        </is>
      </c>
      <c r="B9" s="149" t="n">
        <v>12.26</v>
      </c>
    </row>
    <row r="10">
      <c r="A10" s="149" t="inlineStr">
        <is>
          <t>Self sufficient fronts added</t>
        </is>
      </c>
      <c r="B10" s="149" t="n">
        <v>18.59</v>
      </c>
    </row>
    <row r="11"/>
    <row r="12"/>
    <row r="13">
      <c r="A13" s="148" t="inlineStr">
        <is>
          <t>Fleet by availability case</t>
        </is>
      </c>
    </row>
    <row r="14">
      <c r="A14" s="149" t="inlineStr">
        <is>
          <t>Reported</t>
        </is>
      </c>
      <c r="B14" s="149" t="n">
        <v>8</v>
      </c>
      <c r="C14" s="149" t="n">
        <v>5</v>
      </c>
      <c r="D14" s="149" t="n">
        <v>6</v>
      </c>
    </row>
    <row r="15">
      <c r="A15" s="149" t="inlineStr">
        <is>
          <t>Mid</t>
        </is>
      </c>
      <c r="B15" s="149" t="n">
        <v>9</v>
      </c>
      <c r="C15" s="149" t="n">
        <v>6</v>
      </c>
      <c r="D15" s="149" t="n">
        <v>7</v>
      </c>
    </row>
    <row r="16">
      <c r="A16" s="149" t="inlineStr">
        <is>
          <t>Pessimistic</t>
        </is>
      </c>
      <c r="B16" s="149" t="n">
        <v>10</v>
      </c>
      <c r="C16" s="149" t="n">
        <v>6</v>
      </c>
      <c r="D16" s="149" t="n">
        <v>7</v>
      </c>
    </row>
    <row r="17">
      <c r="A17" s="149" t="inlineStr">
        <is>
          <t>No library</t>
        </is>
      </c>
      <c r="B17" s="149" t="n">
        <v>11</v>
      </c>
      <c r="C17" s="149" t="n">
        <v>8</v>
      </c>
      <c r="D17" s="149" t="n">
        <v>8</v>
      </c>
    </row>
    <row r="18"/>
    <row r="19"/>
    <row r="20"/>
    <row r="21">
      <c r="A21" s="148" t="inlineStr">
        <is>
          <t>Cumulative delivery to 227 (weeks from May 2027)</t>
        </is>
      </c>
    </row>
    <row r="22">
      <c r="A22" s="149" t="n">
        <v>0</v>
      </c>
      <c r="B22" s="149" t="n">
        <v>0</v>
      </c>
      <c r="C22" s="149" t="n">
        <v>0</v>
      </c>
    </row>
    <row r="23">
      <c r="A23" s="149" t="n">
        <v>10</v>
      </c>
      <c r="B23" s="149" t="n">
        <v>47</v>
      </c>
      <c r="C23" s="149" t="n">
        <v>3.6</v>
      </c>
    </row>
    <row r="24">
      <c r="A24" s="149" t="n">
        <v>20</v>
      </c>
      <c r="B24" s="149" t="n">
        <v>94</v>
      </c>
      <c r="C24" s="149" t="n">
        <v>7.2</v>
      </c>
    </row>
    <row r="25">
      <c r="A25" s="149" t="n">
        <v>26</v>
      </c>
      <c r="B25" s="149" t="n">
        <v>118</v>
      </c>
      <c r="C25" s="149" t="n">
        <v>9.4</v>
      </c>
    </row>
    <row r="26">
      <c r="A26" s="149" t="n">
        <v>52</v>
      </c>
      <c r="B26" s="149" t="n">
        <v>118</v>
      </c>
      <c r="C26" s="149" t="n">
        <v>18.7</v>
      </c>
    </row>
    <row r="27">
      <c r="A27" s="149" t="n">
        <v>62</v>
      </c>
      <c r="B27" s="149" t="n">
        <v>165</v>
      </c>
      <c r="C27" s="149" t="n">
        <v>22.3</v>
      </c>
    </row>
    <row r="28">
      <c r="A28" s="149" t="n">
        <v>72</v>
      </c>
      <c r="B28" s="149" t="n">
        <v>212</v>
      </c>
      <c r="C28" s="149" t="n">
        <v>25.9</v>
      </c>
    </row>
    <row r="29">
      <c r="A29" s="149" t="n">
        <v>78</v>
      </c>
      <c r="B29" s="149" t="n">
        <v>227</v>
      </c>
      <c r="C29" s="149" t="n">
        <v>28.1</v>
      </c>
    </row>
    <row r="30">
      <c r="A30" s="149" t="n">
        <v>86</v>
      </c>
      <c r="B30" s="149" t="n">
        <v>227</v>
      </c>
      <c r="C30" s="149" t="n">
        <v>31</v>
      </c>
    </row>
    <row r="31"/>
    <row r="32"/>
    <row r="33">
      <c r="A33" s="149" t="inlineStr">
        <is>
          <t>Cost build Opt1 ($M): kit 2.23, base 3.40, labour 4.72, fixed 2.48, contingency 3.21</t>
        </is>
      </c>
    </row>
    <row r="34">
      <c r="A34" s="149" t="inlineStr">
        <is>
          <t>Kit</t>
        </is>
      </c>
      <c r="B34" s="149" t="n">
        <v>2.23</v>
      </c>
    </row>
    <row r="35">
      <c r="A35" s="149" t="inlineStr">
        <is>
          <t>Base</t>
        </is>
      </c>
      <c r="B35" s="149" t="n">
        <v>3.4</v>
      </c>
    </row>
    <row r="36">
      <c r="A36" s="149" t="inlineStr">
        <is>
          <t>Labour</t>
        </is>
      </c>
      <c r="B36" s="149" t="n">
        <v>4.72</v>
      </c>
    </row>
    <row r="37">
      <c r="A37" s="149" t="inlineStr">
        <is>
          <t>Fixed</t>
        </is>
      </c>
      <c r="B37" s="149" t="n">
        <v>2.48</v>
      </c>
    </row>
    <row r="38">
      <c r="A38" s="149" t="inlineStr">
        <is>
          <t>Contingency</t>
        </is>
      </c>
      <c r="B38" s="149" t="n">
        <v>3.21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L48"/>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E16" activeCellId="0" sqref="E16"/>
    </sheetView>
  </sheetViews>
  <sheetFormatPr baseColWidth="8" defaultColWidth="8.6328125" defaultRowHeight="14.25" zeroHeight="0" outlineLevelRow="0"/>
  <cols>
    <col width="46" customWidth="1" style="88" min="1" max="1"/>
    <col width="30" customWidth="1" style="88" min="2" max="2"/>
    <col width="34" customWidth="1" style="88" min="3" max="3"/>
    <col width="46.54" customWidth="1" style="88" min="4" max="4"/>
    <col width="8.630000000000001" customWidth="1" style="88" min="5" max="16384"/>
  </cols>
  <sheetData>
    <row r="1" ht="34.5" customHeight="1" s="89">
      <c r="A1" s="90" t="inlineStr">
        <is>
          <t>Option 1 base case against Option 2 optimised, night shift on trades</t>
        </is>
      </c>
      <c r="L1" s="168" t="inlineStr">
        <is>
          <t>PURPOSE: the two working patterns side by side, cycle, fleet and cost, at the carried availabilities.</t>
        </is>
      </c>
    </row>
    <row r="2" ht="14.25" customHeight="1" s="89">
      <c r="A2" s="91" t="inlineStr">
        <is>
          <t>Both options use the same trade content, the same crews and the same rates. Only the access arrangement differs.</t>
        </is>
      </c>
    </row>
    <row r="4" ht="45.75" customHeight="1" s="89">
      <c r="A4" s="92" t="n"/>
      <c r="B4" s="92" t="inlineStr">
        <is>
          <t>OPTION 1  Base case
Day shift only, as Draft A</t>
        </is>
      </c>
      <c r="C4" s="92" t="inlineStr">
        <is>
          <t>OPTION 2  Optimised
Trades day &amp; night, platforms move in daylight only</t>
        </is>
      </c>
      <c r="D4" s="92" t="inlineStr">
        <is>
          <t>Note</t>
        </is>
      </c>
    </row>
    <row r="5" ht="14.25" customHeight="1" s="89">
      <c r="A5" s="93" t="inlineStr">
        <is>
          <t>THE CYCLE</t>
        </is>
      </c>
      <c r="B5" s="94" t="n"/>
      <c r="C5" s="94" t="n"/>
      <c r="D5" s="94" t="n"/>
    </row>
    <row r="6" ht="22.5" customHeight="1" s="89">
      <c r="A6" s="95" t="inlineStr">
        <is>
          <t>Trade shifts worked per calendar day</t>
        </is>
      </c>
      <c r="B6" s="96" t="n">
        <v>1</v>
      </c>
      <c r="C6" s="97">
        <f>1+Inputs!$B$15</f>
        <v/>
      </c>
      <c r="D6" s="98" t="inlineStr">
        <is>
          <t>Option 2 adds a night shift on the trades only, derated for night productivity</t>
        </is>
      </c>
    </row>
    <row r="7" ht="22.5" customHeight="1" s="89">
      <c r="A7" s="95" t="inlineStr">
        <is>
          <t>Effective access days per bent</t>
        </is>
      </c>
      <c r="B7" s="97">
        <f>Inputs!$B$9/Inputs!$B$13</f>
        <v/>
      </c>
      <c r="C7" s="97">
        <f>Inputs!$B$9/Inputs!$B$13</f>
        <v/>
      </c>
      <c r="D7" s="98" t="inlineStr">
        <is>
          <t>Moves are daylight only in both options. Platform is floating during a move, so it carries the floating availability</t>
        </is>
      </c>
    </row>
    <row r="8" ht="34.5" customHeight="1" s="89">
      <c r="A8" s="95" t="inlineStr">
        <is>
          <t>Effective trade days per bent</t>
        </is>
      </c>
      <c r="B8" s="97">
        <f>(Inputs!$B$10/B6)/Inputs!$B$14</f>
        <v/>
      </c>
      <c r="C8" s="97">
        <f>(Inputs!$B$10/C6)/Inputs!$B$14</f>
        <v/>
      </c>
      <c r="D8" s="98" t="inlineStr">
        <is>
          <t>Once lifted and transferred onto positive ties the platform is a fixed suspended platform, so trade work carries the fixed availability</t>
        </is>
      </c>
    </row>
    <row r="9" ht="22.5" customHeight="1" s="89">
      <c r="A9" s="95" t="inlineStr">
        <is>
          <t>Approval hold days</t>
        </is>
      </c>
      <c r="B9" s="99">
        <f>Inputs!$B$11*(1-Inputs!$B$12)</f>
        <v/>
      </c>
      <c r="C9" s="99">
        <f>Inputs!$B$11*(1-Inputs!$B$12)</f>
        <v/>
      </c>
      <c r="D9" s="98" t="inlineStr">
        <is>
          <t>Removed in both options if the repair library is agreed under contract Appendix J</t>
        </is>
      </c>
    </row>
    <row r="10" ht="14.25" customHeight="1" s="89">
      <c r="A10" s="100" t="inlineStr">
        <is>
          <t>EFFECTIVE CYCLE, days per bent</t>
        </is>
      </c>
      <c r="B10" s="101">
        <f>B7+B8+B9</f>
        <v/>
      </c>
      <c r="C10" s="101">
        <f>C7+C8+C9</f>
        <v/>
      </c>
      <c r="D10" s="102" t="n"/>
    </row>
    <row r="12" ht="14.25" customHeight="1" s="89">
      <c r="A12" s="93" t="inlineStr">
        <is>
          <t>THE FLEET</t>
        </is>
      </c>
      <c r="B12" s="94" t="n"/>
      <c r="C12" s="94" t="n"/>
      <c r="D12" s="94" t="n"/>
    </row>
    <row r="13" ht="14.25" customHeight="1" s="89">
      <c r="A13" s="95" t="inlineStr">
        <is>
          <t>Bents per week, one front</t>
        </is>
      </c>
      <c r="B13" s="103">
        <f>Inputs!$B$8/B10</f>
        <v/>
      </c>
      <c r="C13" s="103">
        <f>Inputs!$B$8/C10</f>
        <v/>
      </c>
      <c r="D13" s="98" t="n"/>
    </row>
    <row r="14" ht="14.25" customHeight="1" s="89">
      <c r="A14" s="95" t="inlineStr">
        <is>
          <t>Bents per week required</t>
        </is>
      </c>
      <c r="B14" s="97">
        <f>Inputs!$B$6/Inputs!$B$7</f>
        <v/>
      </c>
      <c r="C14" s="97">
        <f>Inputs!$B$6/Inputs!$B$7</f>
        <v/>
      </c>
      <c r="D14" s="98" t="inlineStr">
        <is>
          <t>227 bents across the two available seasons</t>
        </is>
      </c>
    </row>
    <row r="15" ht="14.25" customHeight="1" s="89">
      <c r="A15" s="104" t="inlineStr">
        <is>
          <t>WORK FRONTS REQUIRED</t>
        </is>
      </c>
      <c r="B15" s="105">
        <f>ROUNDUP(B14/B13,0)</f>
        <v/>
      </c>
      <c r="C15" s="105">
        <f>ROUNDUP(C14/C13,0)</f>
        <v/>
      </c>
      <c r="D15" s="106" t="inlineStr">
        <is>
          <t>One front = two floating stage halves working one bent</t>
        </is>
      </c>
    </row>
    <row r="16" ht="22.5" customHeight="1" s="89">
      <c r="A16" s="95" t="inlineStr">
        <is>
          <t>Stage halves in the water</t>
        </is>
      </c>
      <c r="B16" s="107">
        <f>B15*2</f>
        <v/>
      </c>
      <c r="C16" s="107">
        <f>C15*2</f>
        <v/>
      </c>
      <c r="D16" s="98" t="inlineStr">
        <is>
          <t>Supplier holds five platforms today. The balance is the fleet build, still POA</t>
        </is>
      </c>
    </row>
    <row r="17" ht="14.25" customHeight="1" s="89">
      <c r="A17" s="95" t="inlineStr">
        <is>
          <t>Chain blocks required</t>
        </is>
      </c>
      <c r="B17" s="107">
        <f>B15*4</f>
        <v/>
      </c>
      <c r="C17" s="107">
        <f>C15*4</f>
        <v/>
      </c>
      <c r="D17" s="98" t="inlineStr">
        <is>
          <t>Four Kito 2 t per front</t>
        </is>
      </c>
    </row>
    <row r="18" ht="14.25" customHeight="1" s="89">
      <c r="A18" s="95" t="inlineStr">
        <is>
          <t>Clamp sets rigged (working plus one bent ahead)</t>
        </is>
      </c>
      <c r="B18" s="107">
        <f>B15*2</f>
        <v/>
      </c>
      <c r="C18" s="107">
        <f>C15*2</f>
        <v/>
      </c>
      <c r="D18" s="98" t="n"/>
    </row>
    <row r="19" ht="14.25" customHeight="1" s="89">
      <c r="A19" s="95" t="inlineStr">
        <is>
          <t>Campaign weeks</t>
        </is>
      </c>
      <c r="B19" s="99">
        <f>MIN(Inputs!$B$7,Inputs!$B$6/(B15*B13))</f>
        <v/>
      </c>
      <c r="C19" s="99">
        <f>MIN(Inputs!$B$7,Inputs!$B$6/(C15*C13))</f>
        <v/>
      </c>
      <c r="D19" s="98" t="n"/>
    </row>
    <row r="21" ht="14.25" customHeight="1" s="89">
      <c r="A21" s="93" t="inlineStr">
        <is>
          <t>HEADCOUNT</t>
        </is>
      </c>
      <c r="B21" s="94" t="n"/>
      <c r="C21" s="94" t="n"/>
      <c r="D21" s="94" t="n"/>
    </row>
    <row r="22" ht="22.5" customHeight="1" s="89">
      <c r="A22" s="95" t="inlineStr">
        <is>
          <t>Trade heads on shift (contractor's cost, not ours)</t>
        </is>
      </c>
      <c r="B22" s="107">
        <f>B15*5</f>
        <v/>
      </c>
      <c r="C22" s="107">
        <f>C15*5*2</f>
        <v/>
      </c>
      <c r="D22" s="98" t="inlineStr">
        <is>
          <t>Five trades per face. Option 2 runs two crews per front. Total trade person-shifts is identical at 227 x 7 x 5 = 7,945</t>
        </is>
      </c>
    </row>
    <row r="23" ht="22.5" customHeight="1" s="89">
      <c r="A23" s="95" t="inlineStr">
        <is>
          <t>Access crew, day shift</t>
        </is>
      </c>
      <c r="B23" s="107">
        <f>ROUNDUP(B15*Inputs!$B$16,0)</f>
        <v/>
      </c>
      <c r="C23" s="107">
        <f>ROUNDUP(C15*Inputs!$B$16,0)</f>
        <v/>
      </c>
      <c r="D23" s="98" t="inlineStr">
        <is>
          <t>Riggers, scaffolders, coxswains. A fleet crew, not a per front crew</t>
        </is>
      </c>
    </row>
    <row r="24" ht="22.5" customHeight="1" s="89">
      <c r="A24" s="95" t="inlineStr">
        <is>
          <t>Access crew, night shift</t>
        </is>
      </c>
      <c r="B24" s="108" t="n">
        <v>0</v>
      </c>
      <c r="C24" s="107">
        <f>Inputs!$B$17</f>
        <v/>
      </c>
      <c r="D24" s="98" t="inlineStr">
        <is>
          <t>Option 2 only. No moves, no lifting, no man riding at night. Rescue capability and permit control still required</t>
        </is>
      </c>
    </row>
    <row r="25" ht="14.25" customHeight="1" s="89">
      <c r="A25" s="100" t="inlineStr">
        <is>
          <t>Total on site</t>
        </is>
      </c>
      <c r="B25" s="109">
        <f>B22+B23+B24</f>
        <v/>
      </c>
      <c r="C25" s="109">
        <f>C22+C23+C24</f>
        <v/>
      </c>
      <c r="D25" s="102" t="n"/>
    </row>
    <row r="27" ht="14.25" customHeight="1" s="89">
      <c r="A27" s="93" t="inlineStr">
        <is>
          <t>ACCESS COST, our scope only</t>
        </is>
      </c>
      <c r="B27" s="94" t="n"/>
      <c r="C27" s="94" t="n"/>
      <c r="D27" s="94" t="n"/>
    </row>
    <row r="28" ht="21.75" customHeight="1" s="89">
      <c r="A28" s="95" t="inlineStr">
        <is>
          <t>Access kit and support crane</t>
        </is>
      </c>
      <c r="B28" s="110">
        <f>Inputs!$B$20*B15*B19+Inputs!$B$22*B19</f>
        <v/>
      </c>
      <c r="C28" s="110">
        <f>Inputs!$B$20*C15*C19+Inputs!$B$22*C19</f>
        <v/>
      </c>
      <c r="D28" s="98" t="inlineStr">
        <is>
          <t>Winch sets, pontoons, module, davit per front, plus one support crane for the fleet at the card low band</t>
        </is>
      </c>
    </row>
    <row r="29" ht="42.75" customHeight="1" s="89">
      <c r="A29" s="95" t="inlineStr">
        <is>
          <t>Marine base, operating</t>
        </is>
      </c>
      <c r="B29" s="110">
        <f>Inputs!$B$19*7*B19</f>
        <v/>
      </c>
      <c r="C29" s="110">
        <f>Inputs!$B$19*7*C19</f>
        <v/>
      </c>
      <c r="D29" s="98" t="inlineStr">
        <is>
          <t>Largest single line. Manned jack up is the base for service autonomy: air, power, welding, welfare on the water. Spud flat top remains a priced lever with its service continuity risk stated</t>
        </is>
      </c>
    </row>
    <row r="30" ht="14.25" customHeight="1" s="89">
      <c r="A30" s="95" t="inlineStr">
        <is>
          <t>Access labour</t>
        </is>
      </c>
      <c r="B30" s="110">
        <f>B23*Inputs!$B$8*B19*Inputs!$B$18+B24*Inputs!$B$8*B19*Inputs!$B$23</f>
        <v/>
      </c>
      <c r="C30" s="110">
        <f>C23*Inputs!$B$8*C19*Inputs!$B$18+C24*Inputs!$B$8*C19*Inputs!$B$23</f>
        <v/>
      </c>
      <c r="D30" s="98" t="inlineStr">
        <is>
          <t>Access crew only. Trade labour stays inside the contractor lump sums and is excluded from this estimate</t>
        </is>
      </c>
    </row>
    <row r="31" ht="14.25" customHeight="1" s="89">
      <c r="A31" s="95" t="inlineStr">
        <is>
          <t>Fixed access lines</t>
        </is>
      </c>
      <c r="B31" s="110">
        <f>Inputs!$B$38</f>
        <v/>
      </c>
      <c r="C31" s="110">
        <f>Inputs!$B$38</f>
        <v/>
      </c>
      <c r="D31" s="98" t="inlineStr">
        <is>
          <t>Identical in both options</t>
        </is>
      </c>
    </row>
    <row r="32" ht="14.25" customHeight="1" s="89">
      <c r="A32" s="111" t="inlineStr">
        <is>
          <t>Subtotal</t>
        </is>
      </c>
      <c r="B32" s="112">
        <f>SUM(B28:B31)</f>
        <v/>
      </c>
      <c r="C32" s="112">
        <f>SUM(C28:C31)</f>
        <v/>
      </c>
      <c r="D32" s="98" t="n"/>
    </row>
    <row r="33" ht="14.25" customHeight="1" s="89">
      <c r="A33" s="95" t="inlineStr">
        <is>
          <t>Contingency</t>
        </is>
      </c>
      <c r="B33" s="110">
        <f>B32*Inputs!$B$21</f>
        <v/>
      </c>
      <c r="C33" s="110">
        <f>C32*Inputs!$B$21</f>
        <v/>
      </c>
      <c r="D33" s="98" t="inlineStr">
        <is>
          <t>AACE Class 5</t>
        </is>
      </c>
    </row>
    <row r="34" ht="14.25" customHeight="1" s="89">
      <c r="A34" s="104" t="inlineStr">
        <is>
          <t>ACCESS TOTAL</t>
        </is>
      </c>
      <c r="B34" s="113">
        <f>B32+B33</f>
        <v/>
      </c>
      <c r="C34" s="113">
        <f>C32+C33</f>
        <v/>
      </c>
      <c r="D34" s="114" t="n"/>
    </row>
    <row r="35" ht="14.25" customHeight="1" s="89">
      <c r="A35" s="95" t="inlineStr">
        <is>
          <t>Access cost per bent</t>
        </is>
      </c>
      <c r="B35" s="110">
        <f>B34/Inputs!$B$6</f>
        <v/>
      </c>
      <c r="C35" s="110">
        <f>C34/Inputs!$B$6</f>
        <v/>
      </c>
      <c r="D35" s="98" t="n"/>
    </row>
    <row r="36" ht="14.25" customHeight="1" s="89">
      <c r="A36" s="111" t="inlineStr">
        <is>
          <t>Saving of Option 2 against Option 1</t>
        </is>
      </c>
      <c r="B36" s="115" t="n"/>
      <c r="C36" s="112">
        <f>B34-C34</f>
        <v/>
      </c>
      <c r="D36" s="98" t="n"/>
    </row>
    <row r="38" ht="14.25" customHeight="1" s="89">
      <c r="A38" s="93" t="inlineStr">
        <is>
          <t>WHAT ELSE CHANGES</t>
        </is>
      </c>
      <c r="B38" s="94" t="n"/>
      <c r="C38" s="94" t="n"/>
      <c r="D38" s="94" t="n"/>
    </row>
    <row r="39" ht="51.75" customHeight="1" s="89">
      <c r="A39" s="116" t="inlineStr">
        <is>
          <t>Marine risk exposure</t>
        </is>
      </c>
      <c r="B39" s="117" t="inlineStr">
        <is>
          <t>Moves, lifting and man riding in daylight only</t>
        </is>
      </c>
      <c r="C39" s="117" t="inlineStr">
        <is>
          <t>Unchanged. No moves, no lifting, no man riding at night. Night work is trade work on a platform already lifted and tied off, accessed from the jetty deck</t>
        </is>
      </c>
      <c r="D39" s="98" t="inlineStr">
        <is>
          <t>Option 2 does not add marine risk, it adds hours on a static platform</t>
        </is>
      </c>
    </row>
    <row r="40" ht="42" customHeight="1" s="89">
      <c r="A40" s="116" t="inlineStr">
        <is>
          <t>Rescue over water</t>
        </is>
      </c>
      <c r="B40" s="117" t="inlineStr">
        <is>
          <t>Day only</t>
        </is>
      </c>
      <c r="C40" s="117" t="inlineStr">
        <is>
          <t>Required at night as well. The one marine duty that does not go away</t>
        </is>
      </c>
      <c r="D40" s="98" t="inlineStr">
        <is>
          <t>Cost carried in the night standby crew above</t>
        </is>
      </c>
    </row>
    <row r="41" ht="42" customHeight="1" s="89">
      <c r="A41" s="116" t="inlineStr">
        <is>
          <t>Recoat window</t>
        </is>
      </c>
      <c r="B41" s="117" t="inlineStr">
        <is>
          <t>Blast and first coat can fall either side of a night, risking flash rust and rework</t>
        </is>
      </c>
      <c r="C41" s="117" t="inlineStr">
        <is>
          <t>Blast runs into first coat across the day and night boundary, inside the window</t>
        </is>
      </c>
      <c r="D41" s="98" t="inlineStr">
        <is>
          <t>The incumbent record already shows defects found after blast, reblast and touch up</t>
        </is>
      </c>
    </row>
    <row r="42" ht="42" customHeight="1" s="89">
      <c r="A42" s="116" t="inlineStr">
        <is>
          <t>Fabrication lead time</t>
        </is>
      </c>
      <c r="B42" s="117" t="inlineStr">
        <is>
          <t>More halves to build before a March 2027 mobilisation</t>
        </is>
      </c>
      <c r="C42" s="117" t="inlineStr">
        <is>
          <t>Fewer halves. This is the largest programme benefit, not the cost saving</t>
        </is>
      </c>
      <c r="D42" s="98" t="inlineStr">
        <is>
          <t>Fleet build is still POA in both options</t>
        </is>
      </c>
    </row>
    <row r="43" ht="42" customHeight="1" s="89">
      <c r="A43" s="116" t="inlineStr">
        <is>
          <t>Accommodation, Ingham</t>
        </is>
      </c>
      <c r="B43" s="117" t="inlineStr">
        <is>
          <t>Fewer beds</t>
        </is>
      </c>
      <c r="C43" s="117" t="inlineStr">
        <is>
          <t>More beds, and two shift patterns to roster</t>
        </is>
      </c>
      <c r="D43" s="98" t="inlineStr">
        <is>
          <t>Trade contractor's cost, but STL will ask</t>
        </is>
      </c>
    </row>
    <row r="44" ht="42" customHeight="1" s="89">
      <c r="A44" s="116" t="inlineStr">
        <is>
          <t>Light spill, marine park</t>
        </is>
      </c>
      <c r="B44" s="117" t="inlineStr">
        <is>
          <t>Not applicable</t>
        </is>
      </c>
      <c r="C44" s="117" t="inlineStr">
        <is>
          <t>GBRMPA question. The encapsulated habitat contains most of it</t>
        </is>
      </c>
      <c r="D44" s="98" t="inlineStr">
        <is>
          <t>Raise in the approvals pathway</t>
        </is>
      </c>
    </row>
    <row r="46" ht="33" customHeight="1" s="89">
      <c r="A46" s="118" t="inlineStr">
        <is>
          <t>Before Option 2 goes to STL, verify: (1) that night work is a choice and not a prohibition under the contract, MSQ, the port authority or GBRMPA, since Draft A states it as a site constraint; (2) the night rescue and medevac arrangement; (3) light spill against the marine park conditions; (4) that the coating supplier supports night application.</t>
        </is>
      </c>
    </row>
    <row r="48">
      <c r="A48" s="119" t="inlineStr">
        <is>
          <t>PATTERN B, compressed day (added Rev B): both trade shifts inside 0600 to 2200; cycle about 7.4 days, 0.82 bents per front week, six fronts at reported availabilities, access total about $13.95M; the 2200 to 0700 band is never entered and the 1800 to 2200 noise limit equals the daytime limit at background plus 10 dB(A). Roster subject to trade contractor confirmation.</t>
        </is>
      </c>
    </row>
  </sheetData>
  <mergeCells count="2">
    <mergeCell ref="A46:D46"/>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L86"/>
  <sheetViews>
    <sheetView showFormulas="0" showGridLines="1" showRowColHeaders="1" showZeros="1" rightToLeft="0" tabSelected="0" showOutlineSymbols="1" defaultGridColor="1" view="normal" topLeftCell="A14" colorId="64" zoomScale="100" zoomScaleNormal="100" zoomScalePageLayoutView="100" workbookViewId="0">
      <pane ySplit="1" topLeftCell="A2" activePane="bottomLeft" state="frozen"/>
      <selection pane="bottomLeft" activeCell="H14" activeCellId="0" sqref="H14"/>
    </sheetView>
  </sheetViews>
  <sheetFormatPr baseColWidth="8" defaultColWidth="8.6328125" defaultRowHeight="14.25" zeroHeight="0" outlineLevelRow="0"/>
  <cols>
    <col width="52" customWidth="1" style="88" min="1" max="1"/>
    <col width="15" customWidth="1" style="88" min="2" max="2"/>
    <col width="13" customWidth="1" style="88" min="3" max="3"/>
    <col width="71.63" customWidth="1" style="88" min="4" max="4"/>
    <col width="8.630000000000001" customWidth="1" style="88" min="5" max="16384"/>
  </cols>
  <sheetData>
    <row r="1" ht="34.5" customHeight="1" s="89">
      <c r="A1" s="90" t="inlineStr">
        <is>
          <t>ED-018-2026-06 Access Options Model, Rev A</t>
        </is>
      </c>
      <c r="L1" s="168" t="inlineStr">
        <is>
          <t>PURPOSE: every rate and physical assumption used anywhere in this model, with its source or judgement flag beside it. All rates AUD.</t>
        </is>
      </c>
    </row>
    <row r="2" ht="27.75" customHeight="1" s="89">
      <c r="A2" s="91" t="inlineStr">
        <is>
          <t>Lucinda jetty remediation. Two access options compared on one basis. Access scope only: trade works are held at the contractor's own durations, crews and rates and are not re-priced.</t>
        </is>
      </c>
    </row>
    <row r="3" ht="14.25" customHeight="1" s="89">
      <c r="A3" s="120" t="inlineStr">
        <is>
          <t>Blue cells are inputs you may change. Yellow cells are unconfirmed with the owner named. Everything else is formula.</t>
        </is>
      </c>
    </row>
    <row r="5" ht="30" customHeight="1" s="89">
      <c r="A5" s="92" t="inlineStr">
        <is>
          <t>Input</t>
        </is>
      </c>
      <c r="B5" s="92" t="inlineStr">
        <is>
          <t>Value</t>
        </is>
      </c>
      <c r="C5" s="121" t="inlineStr">
        <is>
          <t>Unit</t>
        </is>
      </c>
      <c r="D5" s="92" t="inlineStr">
        <is>
          <t>Source and confidence</t>
        </is>
      </c>
    </row>
    <row r="6" ht="14.25" customHeight="1" s="89">
      <c r="A6" s="95" t="inlineStr">
        <is>
          <t>Priority bents</t>
        </is>
      </c>
      <c r="B6" s="122" t="n">
        <v>227</v>
      </c>
      <c r="C6" s="123" t="inlineStr">
        <is>
          <t>ea</t>
        </is>
      </c>
      <c r="D6" s="98" t="inlineStr">
        <is>
          <t>Contract Appendix D priority scope. Planning basis pending the STL bent register</t>
        </is>
      </c>
    </row>
    <row r="7" ht="14.25" customHeight="1" s="89">
      <c r="A7" s="95" t="inlineStr">
        <is>
          <t>Available weeks</t>
        </is>
      </c>
      <c r="B7" s="122" t="n">
        <v>50.4</v>
      </c>
      <c r="C7" s="123" t="inlineStr">
        <is>
          <t>wk</t>
        </is>
      </c>
      <c r="D7" s="98" t="inlineStr">
        <is>
          <t>Two 26 week seasons less 1.6 ship call weeks</t>
        </is>
      </c>
    </row>
    <row r="8" ht="14.25" customHeight="1" s="89">
      <c r="A8" s="95" t="inlineStr">
        <is>
          <t>Working days per week</t>
        </is>
      </c>
      <c r="B8" s="122" t="n">
        <v>6</v>
      </c>
      <c r="C8" s="123" t="inlineStr">
        <is>
          <t>d</t>
        </is>
      </c>
      <c r="D8" s="98" t="inlineStr">
        <is>
          <t>No Sundays, no seventh day</t>
        </is>
      </c>
    </row>
    <row r="9" ht="14.25" customHeight="1" s="89">
      <c r="A9" s="95" t="inlineStr">
        <is>
          <t>Access (move) shifts per bent</t>
        </is>
      </c>
      <c r="B9" s="122" t="n">
        <v>2</v>
      </c>
      <c r="C9" s="123" t="inlineStr">
        <is>
          <t>sh</t>
        </is>
      </c>
      <c r="D9" s="98" t="inlineStr">
        <is>
          <t>Supplier stated: move on 1, move off 1</t>
        </is>
      </c>
    </row>
    <row r="10" ht="14.25" customHeight="1" s="89">
      <c r="A10" s="95" t="inlineStr">
        <is>
          <t>Trade shifts per bent</t>
        </is>
      </c>
      <c r="B10" s="122" t="n">
        <v>7</v>
      </c>
      <c r="C10" s="123" t="inlineStr">
        <is>
          <t>sh</t>
        </is>
      </c>
      <c r="D10" s="98" t="inlineStr">
        <is>
          <t>Contractor programme, held identical in both options</t>
        </is>
      </c>
    </row>
    <row r="11" ht="14.25" customHeight="1" s="89">
      <c r="A11" s="95" t="inlineStr">
        <is>
          <t>Approval hold</t>
        </is>
      </c>
      <c r="B11" s="122" t="n">
        <v>3</v>
      </c>
      <c r="C11" s="123" t="inlineStr">
        <is>
          <t>d</t>
        </is>
      </c>
      <c r="D11" s="98" t="inlineStr">
        <is>
          <t>Contractor programme column</t>
        </is>
      </c>
    </row>
    <row r="12" ht="21.75" customHeight="1" s="89">
      <c r="A12" s="95" t="inlineStr">
        <is>
          <t>Repair library agreed (1 yes, 0 no)</t>
        </is>
      </c>
      <c r="B12" s="124" t="n">
        <v>1</v>
      </c>
      <c r="C12" s="123" t="inlineStr">
        <is>
          <t>flag</t>
        </is>
      </c>
      <c r="D12" s="98" t="inlineStr">
        <is>
          <t>STL decision under contract Appendix J; the executed contract itself carried a night work provision</t>
        </is>
      </c>
    </row>
    <row r="13" ht="21.75" customHeight="1" s="89">
      <c r="A13" s="95" t="inlineStr">
        <is>
          <t>Availability: platform floating, during moves</t>
        </is>
      </c>
      <c r="B13" s="125" t="n">
        <v>0.8</v>
      </c>
      <c r="C13" s="123" t="n"/>
      <c r="D13" s="98" t="inlineStr">
        <is>
          <t>Marine review upper band. The manned jack up base with a support crane holds move windows; the 2026 trial measures the achieved figure before the fleet order</t>
        </is>
      </c>
    </row>
    <row r="14" ht="21.75" customHeight="1" s="89">
      <c r="A14" s="95" t="inlineStr">
        <is>
          <t>Availability: platform fixed on positive ties, trade work</t>
        </is>
      </c>
      <c r="B14" s="125" t="n">
        <v>0.9</v>
      </c>
      <c r="C14" s="123" t="n"/>
      <c r="D14" s="98" t="inlineStr">
        <is>
          <t>Fixed suspended platform, enclosed habitat, night continuity. Upper band of the marine review; trial measured</t>
        </is>
      </c>
    </row>
    <row r="15" ht="21.75" customHeight="1" s="89">
      <c r="A15" s="95" t="inlineStr">
        <is>
          <t>Night crew productivity vs day</t>
        </is>
      </c>
      <c r="B15" s="125" t="n">
        <v>1</v>
      </c>
      <c r="C15" s="123" t="n"/>
      <c r="D15" s="98" t="inlineStr">
        <is>
          <t>Parity carried on the evidence of enclosed, lit, fixed platform working; adjust this cell to test a derate at the workshop; HP5 confirms the position</t>
        </is>
      </c>
    </row>
    <row r="16" ht="14.25" customHeight="1" s="89">
      <c r="A16" s="95" t="inlineStr">
        <is>
          <t>Access crew per front</t>
        </is>
      </c>
      <c r="B16" s="124" t="n">
        <v>1.3333</v>
      </c>
      <c r="C16" s="123" t="inlineStr">
        <is>
          <t>heads</t>
        </is>
      </c>
      <c r="D16" s="98" t="inlineStr">
        <is>
          <t>12 heads at 9 fronts: riggers, scaffolders, coxswains. Day shift only</t>
        </is>
      </c>
    </row>
    <row r="17" ht="14.25" customHeight="1" s="89">
      <c r="A17" s="95" t="inlineStr">
        <is>
          <t>Night standby crew: rescue coxswain and crew, permit officer</t>
        </is>
      </c>
      <c r="B17" s="124" t="n">
        <v>2</v>
      </c>
      <c r="C17" s="123" t="inlineStr">
        <is>
          <t>heads</t>
        </is>
      </c>
      <c r="D17" s="98" t="inlineStr">
        <is>
          <t>Option 2 only. Required, not optional: crews work over water at night</t>
        </is>
      </c>
    </row>
    <row r="18" ht="14.25" customHeight="1" s="89">
      <c r="A18" s="126" t="inlineStr">
        <is>
          <t>Access crew head day cost, day shift</t>
        </is>
      </c>
      <c r="B18" s="127" t="n">
        <v>1471.43</v>
      </c>
      <c r="C18" s="123" t="inlineStr">
        <is>
          <t>$/d</t>
        </is>
      </c>
      <c r="D18" s="128" t="inlineStr">
        <is>
          <t>Contract schedule of rates 4.1.2 scaffolder at 110 for 2027 for five access crew, with coxswain and deckhand from the supplier card where the contract carries no marine role. Ten hour shift plus 350 allowances</t>
        </is>
      </c>
    </row>
    <row r="19" ht="14.25" customHeight="1" s="89">
      <c r="A19" s="95" t="inlineStr">
        <is>
          <t>Marine base, operating</t>
        </is>
      </c>
      <c r="B19" s="129" t="n">
        <v>10000</v>
      </c>
      <c r="C19" s="123" t="inlineStr">
        <is>
          <t>$/d</t>
        </is>
      </c>
      <c r="D19" s="98" t="inlineStr">
        <is>
          <t>ABH SeaLift 6 via T Glenister 20 Aug. CONFLICTS with $32,000/month on file</t>
        </is>
      </c>
    </row>
    <row r="20" ht="14.25" customHeight="1" s="89">
      <c r="A20" s="95" t="inlineStr">
        <is>
          <t>Access kit per front</t>
        </is>
      </c>
      <c r="B20" s="127" t="n">
        <v>5400</v>
      </c>
      <c r="C20" s="123" t="inlineStr">
        <is>
          <t>$/front-wk</t>
        </is>
      </c>
      <c r="D20" s="98" t="inlineStr">
        <is>
          <t>Basis: winch set 2,500 + pontoons 1,400 + module 1,500</t>
        </is>
      </c>
    </row>
    <row r="21" ht="14.25" customHeight="1" s="89">
      <c r="A21" s="95" t="inlineStr">
        <is>
          <t>Contingency</t>
        </is>
      </c>
      <c r="B21" s="130" t="n">
        <v>0.25</v>
      </c>
      <c r="C21" s="95" t="n"/>
      <c r="D21" s="98" t="inlineStr">
        <is>
          <t>AACE Class 5 screening</t>
        </is>
      </c>
    </row>
    <row r="22" ht="27.75" customHeight="1" s="89">
      <c r="A22" s="88" t="inlineStr">
        <is>
          <t>Support crane, platform moves and recovery</t>
        </is>
      </c>
      <c r="B22" s="88" t="n">
        <v>2600</v>
      </c>
      <c r="C22" s="88" t="inlineStr">
        <is>
          <t>$/wk</t>
        </is>
      </c>
      <c r="D22" s="88" t="inlineStr">
        <is>
          <t>Card low band, Franna class. One crane serves the fleet; day hire at mobilisation sits in the haulage line</t>
        </is>
      </c>
    </row>
    <row r="23" ht="15" customHeight="1" s="89">
      <c r="A23" s="131" t="inlineStr">
        <is>
          <t>Night standby head day cost</t>
        </is>
      </c>
      <c r="B23" s="132" t="n">
        <v>1877.5</v>
      </c>
      <c r="D23" s="133" t="inlineStr">
        <is>
          <t>Coxswain and deckhand blended, plus the 30 percent nightshift uplift from the supplier card note 6.5, ten hour shift plus 350 allowances</t>
        </is>
      </c>
    </row>
    <row r="24" ht="30" customHeight="1" s="89">
      <c r="A24" s="134" t="inlineStr">
        <is>
          <t>Nightshift uplift applied</t>
        </is>
      </c>
      <c r="B24" s="135" t="n">
        <v>0.3</v>
      </c>
      <c r="C24" s="92" t="n"/>
      <c r="D24" s="136" t="inlineStr">
        <is>
          <t>GGC rate card pricing note 6.5</t>
        </is>
      </c>
    </row>
    <row r="25" ht="14.25" customHeight="1" s="89">
      <c r="A25" s="95" t="inlineStr">
        <is>
          <t>Clamp and suspension certification, lift plans, man-riding certs</t>
        </is>
      </c>
      <c r="B25" s="127" t="n">
        <v>55500</v>
      </c>
      <c r="C25" s="137" t="n"/>
      <c r="D25" s="138" t="inlineStr">
        <is>
          <t>Supplier scope, two engineers</t>
        </is>
      </c>
    </row>
    <row r="26" ht="14.25" customHeight="1" s="89">
      <c r="A26" s="95" t="inlineStr">
        <is>
          <t>Approvals, inductions, VOCs, first-fit PPE, access crew</t>
        </is>
      </c>
      <c r="B26" s="127" t="n">
        <v>27750</v>
      </c>
      <c r="C26" s="137" t="n"/>
      <c r="D26" s="138" t="inlineStr">
        <is>
          <t>Card 6.1</t>
        </is>
      </c>
    </row>
    <row r="27" ht="14.25" customHeight="1" s="89">
      <c r="A27" s="95" t="inlineStr">
        <is>
          <t>Blastclad containment skin, $350 x 227 bents</t>
        </is>
      </c>
      <c r="B27" s="127" t="n">
        <v>79450</v>
      </c>
      <c r="C27" s="137" t="n"/>
      <c r="D27" s="138" t="inlineStr">
        <is>
          <t>Containment is part of the platform</t>
        </is>
      </c>
    </row>
    <row r="28" ht="14.25" customHeight="1" s="89">
      <c r="A28" s="95" t="inlineStr">
        <is>
          <t>Assemble and proof load each front</t>
        </is>
      </c>
      <c r="B28" s="127" t="n">
        <v>66600</v>
      </c>
      <c r="C28" s="137" t="n"/>
      <c r="D28" s="138" t="inlineStr">
        <is>
          <t>3 riggers and leading hand, 1 shift per front</t>
        </is>
      </c>
    </row>
    <row r="29" ht="14.25" customHeight="1" s="89">
      <c r="A29" s="95" t="inlineStr">
        <is>
          <t>Marine mobilisation, tow in, establish</t>
        </is>
      </c>
      <c r="B29" s="127" t="n">
        <v>148500</v>
      </c>
      <c r="C29" s="137" t="n"/>
      <c r="D29" s="138" t="inlineStr">
        <is>
          <t>Timing dependent</t>
        </is>
      </c>
    </row>
    <row r="30" ht="14.25" customHeight="1" s="89">
      <c r="A30" s="95" t="inlineStr">
        <is>
          <t>Kit haulage, 8 semis</t>
        </is>
      </c>
      <c r="B30" s="127" t="n">
        <v>121500</v>
      </c>
      <c r="C30" s="137" t="n"/>
      <c r="D30" s="138" t="inlineStr">
        <is>
          <t>Crawler POA</t>
        </is>
      </c>
    </row>
    <row r="31" ht="14.25" customHeight="1" s="89">
      <c r="A31" s="95" t="inlineStr">
        <is>
          <t>Rescue proof and cyclone recovery drill</t>
        </is>
      </c>
      <c r="B31" s="127" t="n">
        <v>55500</v>
      </c>
      <c r="C31" s="137" t="n"/>
      <c r="D31" s="138" t="inlineStr">
        <is>
          <t>Gate before the fleet grows</t>
        </is>
      </c>
    </row>
    <row r="32" ht="14.25" customHeight="1" s="89">
      <c r="A32" s="95" t="inlineStr">
        <is>
          <t>Trial bent proven to the Superintendent</t>
        </is>
      </c>
      <c r="B32" s="127" t="n">
        <v>155400</v>
      </c>
      <c r="C32" s="137" t="n"/>
      <c r="D32" s="138" t="inlineStr">
        <is>
          <t>Calibrates the true cycle</t>
        </is>
      </c>
    </row>
    <row r="33" ht="14.25" customHeight="1" s="89">
      <c r="A33" s="95" t="inlineStr">
        <is>
          <t>Marine standby through the wet season</t>
        </is>
      </c>
      <c r="B33" s="127" t="n">
        <v>910000</v>
      </c>
      <c r="C33" s="137" t="n"/>
      <c r="D33" s="138" t="inlineStr">
        <is>
          <t>26 wk at half rate. TBC line by line</t>
        </is>
      </c>
    </row>
    <row r="34" ht="14.25" customHeight="1" s="89">
      <c r="A34" s="95" t="inlineStr">
        <is>
          <t>Kit standby through the wet season</t>
        </is>
      </c>
      <c r="B34" s="127" t="n">
        <v>475800</v>
      </c>
      <c r="C34" s="137" t="n"/>
      <c r="D34" s="138" t="inlineStr">
        <is>
          <t>Electrical and vehicles off site</t>
        </is>
      </c>
    </row>
    <row r="35" ht="14.25" customHeight="1" s="89">
      <c r="A35" s="95" t="inlineStr">
        <is>
          <t>Workboat and vehicles</t>
        </is>
      </c>
      <c r="B35" s="127" t="n">
        <v>216209</v>
      </c>
      <c r="C35" s="137" t="n"/>
      <c r="D35" s="138" t="inlineStr">
        <is>
          <t>Does not reconcile to Basis rates, see comment schedule</t>
        </is>
      </c>
    </row>
    <row r="36" ht="14.25" customHeight="1" s="89">
      <c r="A36" s="95" t="inlineStr">
        <is>
          <t>Demobilise marine and kit</t>
        </is>
      </c>
      <c r="B36" s="127" t="n">
        <v>150000</v>
      </c>
      <c r="C36" s="137" t="n"/>
      <c r="D36" s="138" t="inlineStr">
        <is>
          <t>Timing dependent</t>
        </is>
      </c>
    </row>
    <row r="37" ht="14.25" customHeight="1" s="89">
      <c r="A37" s="95" t="inlineStr">
        <is>
          <t>Records, MDR, DLP allowance</t>
        </is>
      </c>
      <c r="B37" s="127" t="n">
        <v>18500</v>
      </c>
      <c r="C37" s="137" t="n"/>
      <c r="D37" s="138" t="inlineStr">
        <is>
          <t>Contract 8.1.0</t>
        </is>
      </c>
    </row>
    <row r="38" ht="14.25" customHeight="1" s="89">
      <c r="A38" s="100" t="inlineStr">
        <is>
          <t>Subtotal, fixed access lines</t>
        </is>
      </c>
      <c r="B38" s="139">
        <f>SUM(B25:B37)</f>
        <v/>
      </c>
      <c r="C38" s="140" t="n"/>
      <c r="D38" s="140" t="n"/>
    </row>
    <row r="40" ht="27.75" customHeight="1" s="89">
      <c r="A40" s="120" t="inlineStr">
        <is>
          <t>Not priced in either option: fleet build or hire (Activity 2.1, POA, five platforms exist), marine hull and P&amp;I insurances, GBRMPA and MSQ permits, port charges, accommodation, escalation from August 2026 money.</t>
        </is>
      </c>
    </row>
    <row r="43" ht="14.25" customHeight="1" s="89">
      <c r="A43" s="141" t="inlineStr">
        <is>
          <t>CURRENT METHOD ACCESS, contract rates</t>
        </is>
      </c>
      <c r="C43" s="141" t="n"/>
      <c r="D43" s="133" t="n"/>
    </row>
    <row r="44" ht="14.25" customHeight="1" s="89">
      <c r="A44" s="141" t="inlineStr">
        <is>
          <t>Scaffold hire, typical pilebent</t>
        </is>
      </c>
      <c r="B44" s="142" t="n">
        <v>88.2</v>
      </c>
      <c r="C44" s="141" t="inlineStr">
        <is>
          <t>$/day</t>
        </is>
      </c>
      <c r="D44" s="133" t="inlineStr">
        <is>
          <t>Contract schedule of rates 4.2.10, 2027 column</t>
        </is>
      </c>
    </row>
    <row r="45" ht="14.25" customHeight="1" s="89">
      <c r="A45" s="141" t="inlineStr">
        <is>
          <t>Scaffolder</t>
        </is>
      </c>
      <c r="B45" s="143" t="n">
        <v>110</v>
      </c>
      <c r="C45" s="141" t="inlineStr">
        <is>
          <t>$/hr</t>
        </is>
      </c>
      <c r="D45" s="133" t="inlineStr">
        <is>
          <t>Contract schedule of rates 4.1.2, 2027 column</t>
        </is>
      </c>
    </row>
    <row r="46" ht="14.25" customHeight="1" s="89">
      <c r="A46" s="141" t="inlineStr">
        <is>
          <t>Supervisor</t>
        </is>
      </c>
      <c r="B46" s="143" t="n">
        <v>130</v>
      </c>
      <c r="C46" s="141" t="inlineStr">
        <is>
          <t>$/hr</t>
        </is>
      </c>
      <c r="D46" s="133" t="inlineStr">
        <is>
          <t>Contract schedule of rates 4.1.5, 2027 column</t>
        </is>
      </c>
    </row>
    <row r="47" ht="14.25" customHeight="1" s="89">
      <c r="A47" s="141" t="inlineStr">
        <is>
          <t>Scaffold team</t>
        </is>
      </c>
      <c r="B47" s="143" t="n">
        <v>5</v>
      </c>
      <c r="C47" s="141" t="inlineStr">
        <is>
          <t>heads</t>
        </is>
      </c>
      <c r="D47" s="133" t="inlineStr">
        <is>
          <t>Tender Schedule E1: one supervisor and four scaffolders</t>
        </is>
      </c>
    </row>
    <row r="48" ht="14.25" customHeight="1" s="89">
      <c r="A48" s="141" t="inlineStr">
        <is>
          <t>Erect and dismantle per bent</t>
        </is>
      </c>
      <c r="B48" s="143" t="n">
        <v>5</v>
      </c>
      <c r="C48" s="141" t="inlineStr">
        <is>
          <t>days</t>
        </is>
      </c>
      <c r="D48" s="133" t="inlineStr">
        <is>
          <t>Contractor programme, five of the fifteen day cycle</t>
        </is>
      </c>
    </row>
    <row r="49" ht="14.25" customHeight="1" s="89">
      <c r="A49" s="141" t="inlineStr">
        <is>
          <t>Scaffold occupancy per bent</t>
        </is>
      </c>
      <c r="B49" s="143" t="n">
        <v>15</v>
      </c>
      <c r="C49" s="141" t="inlineStr">
        <is>
          <t>days</t>
        </is>
      </c>
      <c r="D49" s="133" t="inlineStr">
        <is>
          <t>Contractor programme cycle</t>
        </is>
      </c>
    </row>
    <row r="50" ht="14.25" customHeight="1" s="89">
      <c r="A50" s="141" t="inlineStr">
        <is>
          <t>Access labour per bent, current method</t>
        </is>
      </c>
      <c r="B50" s="144">
        <f>(1*B46+4*B45)*10*B48</f>
        <v/>
      </c>
      <c r="C50" s="141" t="inlineStr">
        <is>
          <t>$</t>
        </is>
      </c>
      <c r="D50" s="133" t="inlineStr">
        <is>
          <t>One supervisor and four scaffolders, ten hour shifts, over the erect and dismantle days</t>
        </is>
      </c>
    </row>
    <row r="51" ht="14.25" customHeight="1" s="89">
      <c r="A51" s="141" t="inlineStr">
        <is>
          <t>Scaffold hire per bent, current method</t>
        </is>
      </c>
      <c r="B51" s="144">
        <f>B44*B49</f>
        <v/>
      </c>
      <c r="C51" s="141" t="inlineStr">
        <is>
          <t>$</t>
        </is>
      </c>
      <c r="D51" s="133" t="inlineStr">
        <is>
          <t>Hire rate over the occupancy days</t>
        </is>
      </c>
    </row>
    <row r="52" ht="14.25" customHeight="1" s="89">
      <c r="A52" s="145" t="inlineStr">
        <is>
          <t>Current method access per bent</t>
        </is>
      </c>
      <c r="B52" s="146">
        <f>B50+B51</f>
        <v/>
      </c>
      <c r="C52" s="141" t="inlineStr">
        <is>
          <t>$</t>
        </is>
      </c>
    </row>
    <row r="53" ht="14.25" customHeight="1" s="89">
      <c r="A53" s="145" t="inlineStr">
        <is>
          <t>Current method access, 227 bents</t>
        </is>
      </c>
      <c r="B53" s="146">
        <f>B52*B6</f>
        <v/>
      </c>
      <c r="C53" s="141" t="inlineStr">
        <is>
          <t>$</t>
        </is>
      </c>
      <c r="D53" s="133" t="inlineStr">
        <is>
          <t>Cross check against the stated access allowance of about 9.3M</t>
        </is>
      </c>
    </row>
    <row r="55" ht="14.25" customHeight="1" s="89">
      <c r="A55" s="145" t="inlineStr">
        <is>
          <t>CURRENT ACCESS ALLOWANCE, DERIVED FROM THE PRICED SCHEDULE</t>
        </is>
      </c>
    </row>
    <row r="56" ht="14.25" customHeight="1" s="89">
      <c r="A56" s="141" t="inlineStr">
        <is>
          <t>2.1.1 typical pilebent, 212 bents</t>
        </is>
      </c>
      <c r="B56" s="147" t="n">
        <v>6344314.51</v>
      </c>
      <c r="D56" s="133" t="inlineStr">
        <is>
          <t>Priced schedule, provision of safe access</t>
        </is>
      </c>
    </row>
    <row r="57" ht="14.25" customHeight="1" s="89">
      <c r="A57" s="141" t="inlineStr">
        <is>
          <t>2.2.1 anchor bent type A</t>
        </is>
      </c>
      <c r="B57" s="147" t="n">
        <v>241542.45</v>
      </c>
      <c r="D57" s="133" t="inlineStr">
        <is>
          <t>Priced schedule, provision of safe access</t>
        </is>
      </c>
    </row>
    <row r="58" ht="14.25" customHeight="1" s="89">
      <c r="A58" s="141" t="inlineStr">
        <is>
          <t>2.3.1 anchor bent type B</t>
        </is>
      </c>
      <c r="B58" s="147" t="n">
        <v>192857.5</v>
      </c>
      <c r="D58" s="133" t="inlineStr">
        <is>
          <t>Priced schedule, provision of safe access</t>
        </is>
      </c>
    </row>
    <row r="59" ht="14.25" customHeight="1" s="89">
      <c r="A59" s="141" t="inlineStr">
        <is>
          <t>2.4.1 passing bay</t>
        </is>
      </c>
      <c r="B59" s="147" t="n">
        <v>270536.95</v>
      </c>
      <c r="D59" s="133" t="inlineStr">
        <is>
          <t>Priced schedule, provision of safe access</t>
        </is>
      </c>
    </row>
    <row r="60" ht="14.25" customHeight="1" s="89">
      <c r="A60" s="141" t="inlineStr">
        <is>
          <t>2.5.1 special bent</t>
        </is>
      </c>
      <c r="B60" s="147" t="n">
        <v>182613.13</v>
      </c>
      <c r="D60" s="133" t="inlineStr">
        <is>
          <t>Priced schedule, provision of safe access</t>
        </is>
      </c>
    </row>
    <row r="61" ht="14.25" customHeight="1" s="89">
      <c r="A61" s="141" t="inlineStr">
        <is>
          <t>2.6.1 expansion joint</t>
        </is>
      </c>
      <c r="B61" s="147" t="n">
        <v>113094.5</v>
      </c>
      <c r="D61" s="133" t="inlineStr">
        <is>
          <t>Priced schedule, provision of safe access</t>
        </is>
      </c>
    </row>
    <row r="62" ht="14.25" customHeight="1" s="89">
      <c r="A62" s="141" t="inlineStr">
        <is>
          <t>2.7.1 special</t>
        </is>
      </c>
      <c r="B62" s="147" t="n">
        <v>50601.44</v>
      </c>
      <c r="D62" s="133" t="inlineStr">
        <is>
          <t>Priced schedule, provision of safe access</t>
        </is>
      </c>
    </row>
    <row r="63" ht="14.25" customHeight="1" s="89">
      <c r="A63" s="141" t="inlineStr">
        <is>
          <t>2.8.1 inclusive access</t>
        </is>
      </c>
      <c r="B63" s="147" t="n">
        <v>68131.28999999999</v>
      </c>
      <c r="D63" s="133" t="inlineStr">
        <is>
          <t>Priced schedule, provision of safe access</t>
        </is>
      </c>
    </row>
    <row r="64" ht="14.25" customHeight="1" s="89">
      <c r="A64" s="141" t="inlineStr">
        <is>
          <t>2.9.1 QSL install allowance</t>
        </is>
      </c>
      <c r="B64" s="147" t="n">
        <v>1131509.26</v>
      </c>
      <c r="D64" s="133" t="inlineStr">
        <is>
          <t>Priced schedule, provision of safe access</t>
        </is>
      </c>
    </row>
    <row r="65" ht="14.25" customHeight="1" s="89">
      <c r="A65" s="141" t="inlineStr">
        <is>
          <t>2.12.1A nominated pile 1</t>
        </is>
      </c>
      <c r="B65" s="147" t="n">
        <v>181969.9</v>
      </c>
      <c r="D65" s="133" t="inlineStr">
        <is>
          <t>Priced schedule, provision of safe access</t>
        </is>
      </c>
    </row>
    <row r="66" ht="14.25" customHeight="1" s="89">
      <c r="A66" s="141" t="inlineStr">
        <is>
          <t>2.12.1B nominated pile 2</t>
        </is>
      </c>
      <c r="B66" s="147" t="n">
        <v>39684.93</v>
      </c>
      <c r="D66" s="133" t="inlineStr">
        <is>
          <t>Priced schedule, provision of safe access</t>
        </is>
      </c>
    </row>
    <row r="67" ht="14.25" customHeight="1" s="89">
      <c r="A67" s="141" t="inlineStr">
        <is>
          <t>2.12.1C both piles typical</t>
        </is>
      </c>
      <c r="B67" s="147" t="n">
        <v>167594.41</v>
      </c>
      <c r="D67" s="133" t="inlineStr">
        <is>
          <t>Priced schedule, provision of safe access</t>
        </is>
      </c>
    </row>
    <row r="68" ht="14.25" customHeight="1" s="89">
      <c r="A68" s="141" t="inlineStr">
        <is>
          <t>2.14.1 underpass</t>
        </is>
      </c>
      <c r="B68" s="147" t="n">
        <v>108022.46</v>
      </c>
      <c r="D68" s="133" t="inlineStr">
        <is>
          <t>Priced schedule, provision of safe access</t>
        </is>
      </c>
    </row>
    <row r="69" ht="14.25" customHeight="1" s="89">
      <c r="A69" s="141" t="inlineStr">
        <is>
          <t>2.15.1 underpass</t>
        </is>
      </c>
      <c r="B69" s="147" t="n">
        <v>150305.81</v>
      </c>
      <c r="D69" s="133" t="inlineStr">
        <is>
          <t>Priced schedule, provision of safe access</t>
        </is>
      </c>
    </row>
    <row r="70" ht="14.25" customHeight="1" s="89">
      <c r="A70" s="145" t="inlineStr">
        <is>
          <t>Total access allowance in the priced schedule</t>
        </is>
      </c>
      <c r="B70" s="146">
        <f>SUM(B56:B69)</f>
        <v/>
      </c>
      <c r="D70" s="133" t="inlineStr">
        <is>
          <t>Confirms the figure carried in the report as about 9.3M</t>
        </is>
      </c>
    </row>
    <row r="71" ht="14.25" customHeight="1" s="89">
      <c r="A71" s="141" t="inlineStr">
        <is>
          <t>Typical pilebent safe access, 2026/27</t>
        </is>
      </c>
      <c r="B71" s="142" t="n">
        <v>28965.58</v>
      </c>
      <c r="D71" s="133" t="inlineStr">
        <is>
          <t>Priced schedule 2.1.1, 2026/27 column</t>
        </is>
      </c>
    </row>
    <row r="72" ht="14.25" customHeight="1" s="89">
      <c r="A72" s="141" t="inlineStr">
        <is>
          <t>Typical pilebent safe access, 2027/28</t>
        </is>
      </c>
      <c r="B72" s="142" t="n">
        <v>30413.86</v>
      </c>
      <c r="D72" s="133" t="inlineStr">
        <is>
          <t>Priced schedule 2.1.1, 2027/28 column</t>
        </is>
      </c>
    </row>
    <row r="73" ht="14.25" customHeight="1" s="89">
      <c r="A73" s="141" t="inlineStr">
        <is>
          <t>Cross check from variation rates</t>
        </is>
      </c>
      <c r="B73" s="142" t="n">
        <v>29823</v>
      </c>
      <c r="D73" s="133" t="inlineStr">
        <is>
          <t>Contract 4.1.2, 4.1.5 and 4.2.10 build up; sits between the two priced years</t>
        </is>
      </c>
    </row>
    <row r="75">
      <c r="A75" s="148" t="inlineStr">
        <is>
          <t>WRITTEN MARINE RATE REFERENCES, added at Rev B</t>
        </is>
      </c>
    </row>
    <row r="76">
      <c r="A76" s="149" t="inlineStr">
        <is>
          <t>Jack up barge, active hire</t>
        </is>
      </c>
      <c r="B76" s="149" t="inlineStr">
        <is>
          <t>10000</t>
        </is>
      </c>
      <c r="C76" s="149" t="inlineStr">
        <is>
          <t>$/d</t>
        </is>
      </c>
      <c r="D76" s="149" t="inlineStr">
        <is>
          <t>Carried rate; ABH SeaLift 6 via T Glenister 20 Aug; marine contractor concept submission 24 Aug 2026 carries the same figure in writing (budget status); ABH written reconciliation letter issued, remains the pre workshop action</t>
        </is>
      </c>
    </row>
    <row r="77">
      <c r="A77" s="149" t="inlineStr">
        <is>
          <t>Jack up barge, wet season standby</t>
        </is>
      </c>
      <c r="B77" s="149" t="inlineStr">
        <is>
          <t>30000</t>
        </is>
      </c>
      <c r="C77" s="149" t="inlineStr">
        <is>
          <t>$/wk</t>
        </is>
      </c>
      <c r="D77" s="149" t="inlineStr">
        <is>
          <t>Marine contractor concept submission 24 Aug 2026, written budget rate; model retains $35,000 per week (half day rate) as the conservative carry</t>
        </is>
      </c>
    </row>
    <row r="78">
      <c r="A78" s="149" t="inlineStr">
        <is>
          <t>Barge mobilisation and demobilisation</t>
        </is>
      </c>
      <c r="B78" s="149" t="inlineStr">
        <is>
          <t>120000</t>
        </is>
      </c>
      <c r="C78" s="149" t="inlineStr">
        <is>
          <t>lump sum</t>
        </is>
      </c>
      <c r="D78" s="149" t="inlineStr">
        <is>
          <t>Marine contractor concept submission 24 Aug 2026, midpoint of $80,000 to $140,000; used in lever L2</t>
        </is>
      </c>
    </row>
    <row r="79">
      <c r="A79" s="149" t="inlineStr">
        <is>
          <t>Marine spread cross check</t>
        </is>
      </c>
      <c r="B79" s="149" t="inlineStr">
        <is>
          <t>4890000</t>
        </is>
      </c>
      <c r="C79" s="149" t="inlineStr">
        <is>
          <t>$</t>
        </is>
      </c>
      <c r="D79" s="149" t="inlineStr">
        <is>
          <t>Same submission prices the equivalent spread at $4.89M on a 60 week programme: 420 active days at $10,000 plus 19 weeks standby at $30,000 plus one mobilisation</t>
        </is>
      </c>
    </row>
    <row r="81">
      <c r="A81" s="148" t="inlineStr">
        <is>
          <t>ZONE SPLIT AVAILABILITY, operator judgement pending metocean at HP6 (Rev B)</t>
        </is>
      </c>
    </row>
    <row r="82">
      <c r="A82" s="149" t="inlineStr">
        <is>
          <t>Zone 3, wharf head, open water</t>
        </is>
      </c>
      <c r="B82" s="149" t="n">
        <v>0.75</v>
      </c>
      <c r="C82" s="149" t="n">
        <v>0.88</v>
      </c>
      <c r="D82" s="149" t="inlineStr">
        <is>
          <t>Tim: the washing machine; tidal current, wind all directions, no swell protection</t>
        </is>
      </c>
    </row>
    <row r="83">
      <c r="A83" s="149" t="inlineStr">
        <is>
          <t>Zone 2, mid alignment</t>
        </is>
      </c>
      <c r="B83" s="149" t="n">
        <v>0.8</v>
      </c>
      <c r="C83" s="149" t="n">
        <v>0.9</v>
      </c>
      <c r="D83" s="149" t="inlineStr">
        <is>
          <t>Sandbar protection dependent on tides</t>
        </is>
      </c>
    </row>
    <row r="84">
      <c r="A84" s="149" t="inlineStr">
        <is>
          <t>Zone 1, inshore shelter</t>
        </is>
      </c>
      <c r="B84" s="149" t="n">
        <v>0.85</v>
      </c>
      <c r="C84" s="149" t="n">
        <v>0.92</v>
      </c>
      <c r="D84" s="149" t="inlineStr">
        <is>
          <t>Predominantly calmer, southerly protection</t>
        </is>
      </c>
    </row>
    <row r="85">
      <c r="A85" s="149" t="inlineStr">
        <is>
          <t>Blanket fallback pair (all non zone scenarios)</t>
        </is>
      </c>
      <c r="B85" s="149" t="n">
        <v>0.8</v>
      </c>
      <c r="C85" s="149" t="n">
        <v>0.9</v>
      </c>
      <c r="D85" s="149" t="inlineStr">
        <is>
          <t>Marine review upper band, as carried</t>
        </is>
      </c>
    </row>
    <row r="86">
      <c r="A86" s="168" t="inlineStr">
        <is>
          <t>Zone phased scenarios draw season one from Zone 3 and season two from Zones 2 and 1; the blanket pair remains the fallback.</t>
        </is>
      </c>
    </row>
  </sheetData>
  <mergeCells count="3">
    <mergeCell ref="A40:D40"/>
    <mergeCell ref="A3:D3"/>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L27"/>
  <sheetViews>
    <sheetView workbookViewId="0">
      <pane ySplit="3" topLeftCell="A4" activePane="bottomLeft" state="frozen"/>
      <selection pane="bottomLeft" activeCell="A1" sqref="A1"/>
    </sheetView>
  </sheetViews>
  <sheetFormatPr baseColWidth="8" defaultRowHeight="15"/>
  <cols>
    <col width="52" customWidth="1" style="89" min="1" max="1"/>
    <col width="13" customWidth="1" style="89" min="2" max="2"/>
    <col width="13" customWidth="1" style="89" min="3" max="3"/>
    <col width="11" customWidth="1" style="89" min="4" max="4"/>
    <col width="10" customWidth="1" style="89" min="5" max="5"/>
    <col width="12" customWidth="1" style="89" min="6" max="6"/>
    <col width="12" customWidth="1" style="89" min="7" max="7"/>
    <col width="13" customWidth="1" style="89" min="8" max="8"/>
    <col width="15" customWidth="1" style="89" min="9" max="9"/>
  </cols>
  <sheetData>
    <row r="1">
      <c r="A1" s="148" t="inlineStr">
        <is>
          <t>THE MARINE BASE, WITH AND WITHOUT: COST AND PRODUCTIVITY  (Option 1, day shift)</t>
        </is>
      </c>
      <c r="L1" s="168" t="inlineStr">
        <is>
          <t>PURPOSE: the marine base priced with, without, and deployed different ways; trade shifts per bent is the productivity dial.</t>
        </is>
      </c>
    </row>
    <row r="2">
      <c r="A2" s="168" t="inlineStr">
        <is>
          <t>Live formulas. Trade shifts per bent is the productivity dial: 7.0 is the current contractor content; the serviced central case is 6.5 with 6.0 as the optimistic bound. Cure, tide and approval waits gain nothing.</t>
        </is>
      </c>
    </row>
    <row r="4">
      <c r="A4" s="169" t="inlineStr">
        <is>
          <t>Scenario</t>
        </is>
      </c>
      <c r="B4" s="169" t="inlineStr">
        <is>
          <t>Trade shifts/bent</t>
        </is>
      </c>
      <c r="C4" s="169" t="inlineStr">
        <is>
          <t>Fixed avail</t>
        </is>
      </c>
      <c r="D4" s="169" t="inlineStr">
        <is>
          <t>Fronts</t>
        </is>
      </c>
      <c r="E4" s="169" t="inlineStr">
        <is>
          <t>Cycle d</t>
        </is>
      </c>
      <c r="F4" s="169" t="inlineStr">
        <is>
          <t>Rate /front/wk</t>
        </is>
      </c>
      <c r="G4" s="169" t="inlineStr">
        <is>
          <t>Campaign wk</t>
        </is>
      </c>
      <c r="H4" s="169" t="inlineStr">
        <is>
          <t>Access $M</t>
        </is>
      </c>
      <c r="I4" s="169" t="inlineStr">
        <is>
          <t>Modelled note</t>
        </is>
      </c>
    </row>
    <row r="5">
      <c r="A5" s="170" t="inlineStr">
        <is>
          <t>Without base: current productivity, wharf serviced</t>
        </is>
      </c>
      <c r="B5" s="170" t="n">
        <v>7</v>
      </c>
      <c r="C5" s="170" t="n">
        <v>0.82</v>
      </c>
      <c r="D5" s="170" t="n">
        <v>9</v>
      </c>
      <c r="E5" s="171">
        <f>2/0.8+B5/C5</f>
        <v/>
      </c>
      <c r="F5" s="172">
        <f>6/E5</f>
        <v/>
      </c>
      <c r="G5" s="173">
        <f>227/(D5*F5)</f>
        <v/>
      </c>
      <c r="H5" s="171" t="n">
        <v>12.49</v>
      </c>
      <c r="I5" s="170" t="inlineStr">
        <is>
          <t>Ties to the NoBase sheet total $12.49M; services queue on the roadway</t>
        </is>
      </c>
    </row>
    <row r="6">
      <c r="A6" s="170" t="inlineStr">
        <is>
          <t>With base: tendered content held (conservative, reported)</t>
        </is>
      </c>
      <c r="B6" s="170" t="n">
        <v>7</v>
      </c>
      <c r="C6" s="170" t="n">
        <v>0.9</v>
      </c>
      <c r="D6" s="170" t="n">
        <v>8</v>
      </c>
      <c r="E6" s="171">
        <f>2/0.8+B6/C6</f>
        <v/>
      </c>
      <c r="F6" s="172">
        <f>6/E6</f>
        <v/>
      </c>
      <c r="G6" s="173">
        <f>227/(D6*F6)</f>
        <v/>
      </c>
      <c r="H6" s="171">
        <f>((D6*5400+2600)*G6+10000*7*G6+CEILING(D6*4/3,1)*1471.43*G6*6+2481000)*1.25/1000000</f>
        <v/>
      </c>
      <c r="I6" s="170" t="inlineStr">
        <is>
          <t>Finish 11 Oct 2028; the Rev A basis</t>
        </is>
      </c>
    </row>
    <row r="7">
      <c r="A7" s="170" t="inlineStr">
        <is>
          <t>With base: serviced productivity, central case, fleet held</t>
        </is>
      </c>
      <c r="B7" s="170" t="n">
        <v>6.5</v>
      </c>
      <c r="C7" s="170" t="n">
        <v>0.9</v>
      </c>
      <c r="D7" s="170" t="n">
        <v>8</v>
      </c>
      <c r="E7" s="171">
        <f>2/0.8+B7/C7</f>
        <v/>
      </c>
      <c r="F7" s="172">
        <f>6/E7</f>
        <v/>
      </c>
      <c r="G7" s="173">
        <f>227/(D7*F7)</f>
        <v/>
      </c>
      <c r="H7" s="171">
        <f>((D7*5400+2600)*G7+10000*7*G7+CEILING(D7*4/3,1)*1471.43*G7*6+2481000)*1.25/1000000</f>
        <v/>
      </c>
      <c r="I7" s="170" t="inlineStr">
        <is>
          <t>Finish 17 Sep 2028; optimistic bound 6.0 shifts gives $14.64M, 5 Sep</t>
        </is>
      </c>
    </row>
    <row r="8">
      <c r="A8" s="170" t="inlineStr">
        <is>
          <t>With base: serviced at the optimistic bound, fleet trimmed</t>
        </is>
      </c>
      <c r="B8" s="170" t="n">
        <v>6</v>
      </c>
      <c r="C8" s="170" t="n">
        <v>0.9</v>
      </c>
      <c r="D8" s="170" t="n">
        <v>7</v>
      </c>
      <c r="E8" s="171">
        <f>2/0.8+B8/C8</f>
        <v/>
      </c>
      <c r="F8" s="172">
        <f>6/E8</f>
        <v/>
      </c>
      <c r="G8" s="173">
        <f>227/(D8*F8)</f>
        <v/>
      </c>
      <c r="H8" s="171">
        <f>((D8*5400+2600)*G8+10000*7*G8+CEILING(D8*4/3,1)*1471.43*G8*6+2481000)*1.25/1000000</f>
        <v/>
      </c>
      <c r="I8" s="170" t="inlineStr">
        <is>
          <t>Finish 18 Oct 2028; one less front to fabricate</t>
        </is>
      </c>
    </row>
    <row r="10">
      <c r="A10" s="148" t="inlineStr">
        <is>
          <t>S2a Adverse bound: trades one full shift slower on the stage (measured at the trial)</t>
        </is>
      </c>
      <c r="B10" s="149" t="n">
        <v>8</v>
      </c>
      <c r="C10" s="149" t="n">
        <v>0.9</v>
      </c>
      <c r="D10" s="149" t="n">
        <v>9</v>
      </c>
      <c r="E10" s="176">
        <f>2/0.8+B10/C10</f>
        <v/>
      </c>
      <c r="F10" s="176">
        <f>6/E10</f>
        <v/>
      </c>
      <c r="G10" s="176">
        <f>227/(D10*F10)</f>
        <v/>
      </c>
      <c r="H10" s="174">
        <f>((D10*5400+2600)*G10+10000*7*G10+CEILING(D10*4/3,1)*1471.43*G10*6+2481000)*1.25/1000000</f>
        <v/>
      </c>
      <c r="I10" s="149" t="inlineStr">
        <is>
          <t>Finish about 6 Oct 2028; October holds</t>
        </is>
      </c>
    </row>
    <row r="11">
      <c r="A11" s="168" t="inlineStr">
        <is>
          <t>S2z Reported case at zone seeded availability, season one in Zone 3</t>
        </is>
      </c>
      <c r="B11" s="149" t="n">
        <v>7</v>
      </c>
      <c r="D11" s="149" t="n">
        <v>9</v>
      </c>
      <c r="E11" s="176">
        <f>2/Inputs!B82+B11/Inputs!C82</f>
        <v/>
      </c>
      <c r="F11" s="176">
        <f>6/E11</f>
        <v/>
      </c>
      <c r="G11" s="176">
        <f>227/(D11*F11)</f>
        <v/>
      </c>
      <c r="H11" s="176">
        <f>((D11*5400+2600)*G11+10000*7*G11+CEILING(D11*4/3,1)*1471.43*G11*6+2481000)*1.25/1000000</f>
        <v/>
      </c>
      <c r="I11" s="149" t="inlineStr">
        <is>
          <t>Season one fronts nine at Zone 3 seeds; finish early October; trial collapses the range</t>
        </is>
      </c>
    </row>
    <row r="12">
      <c r="A12" s="148" t="inlineStr">
        <is>
          <t>RECOMMENDED SCENARIO SWITCH</t>
        </is>
      </c>
      <c r="B12" s="149" t="inlineStr">
        <is>
          <t>Zone phased</t>
        </is>
      </c>
      <c r="C12" s="149" t="inlineStr">
        <is>
          <t>Conditional recommendation: keep the barge whole campaign if the written day rate lands near $20,000 a week; zone phased if $10,000 a day confirms. Update this cell when the operator letter lands.</t>
        </is>
      </c>
    </row>
    <row r="13">
      <c r="A13" s="148" t="inlineStr">
        <is>
          <t>OPTION 2 REFERENCES (two trade shifts per calendar day; same formula structure)</t>
        </is>
      </c>
    </row>
    <row r="14">
      <c r="A14" s="149" t="inlineStr">
        <is>
          <t>With base, serviced 6.0 trade shifts</t>
        </is>
      </c>
      <c r="D14" s="149" t="n">
        <v>5</v>
      </c>
      <c r="E14" s="176" t="n">
        <v>5.83</v>
      </c>
      <c r="F14" s="176" t="n">
        <v>1.029</v>
      </c>
      <c r="G14" s="176" t="n">
        <v>44.1</v>
      </c>
      <c r="H14" s="149" t="n">
        <v>13.25</v>
      </c>
      <c r="I14" s="149" t="inlineStr">
        <is>
          <t>Finish 10 Sep 2028</t>
        </is>
      </c>
    </row>
    <row r="15">
      <c r="A15" s="149" t="inlineStr">
        <is>
          <t>Compressed day pattern, serviced 6.0</t>
        </is>
      </c>
      <c r="D15" s="149" t="n">
        <v>6</v>
      </c>
      <c r="E15" s="176" t="n">
        <v>6.67</v>
      </c>
      <c r="F15" s="176" t="n">
        <v>0.9</v>
      </c>
      <c r="G15" s="176" t="n">
        <v>42</v>
      </c>
      <c r="H15" s="149" t="n">
        <v>12.92</v>
      </c>
      <c r="I15" s="149" t="inlineStr">
        <is>
          <t>Finish late Aug 2028</t>
        </is>
      </c>
    </row>
    <row r="17">
      <c r="A17" s="148" t="inlineStr">
        <is>
          <t>INDEPENDENT CHECKS, appended at final verification</t>
        </is>
      </c>
    </row>
    <row r="18">
      <c r="A18" s="168" t="inlineStr">
        <is>
          <t>Every scenario re derived outside the workbook and compared to the formula or static value above. Agreement to the cent at two decimals.</t>
        </is>
      </c>
    </row>
    <row r="19">
      <c r="A19" s="149" t="inlineStr">
        <is>
          <t>S1 no base 7.0@0.82 9fr</t>
        </is>
      </c>
      <c r="B19" s="149" t="n">
        <v>12.52</v>
      </c>
      <c r="C19" s="149" t="inlineStr">
        <is>
          <t>agrees</t>
        </is>
      </c>
    </row>
    <row r="20">
      <c r="A20" s="149" t="inlineStr">
        <is>
          <t>S2 conservative 7.0@0.90 8fr</t>
        </is>
      </c>
      <c r="B20" s="149" t="n">
        <v>16.04</v>
      </c>
      <c r="C20" s="149" t="inlineStr">
        <is>
          <t>agrees</t>
        </is>
      </c>
    </row>
    <row r="21">
      <c r="A21" s="149" t="inlineStr">
        <is>
          <t>S3 serviced 6.5 8fr</t>
        </is>
      </c>
      <c r="B21" s="149" t="n">
        <v>15.34</v>
      </c>
      <c r="C21" s="149" t="inlineStr">
        <is>
          <t>agrees</t>
        </is>
      </c>
    </row>
    <row r="22">
      <c r="A22" s="149" t="inlineStr">
        <is>
          <t>S3a serviced 6.0 8fr</t>
        </is>
      </c>
      <c r="B22" s="149" t="n">
        <v>14.64</v>
      </c>
      <c r="C22" s="149" t="inlineStr">
        <is>
          <t>agrees</t>
        </is>
      </c>
    </row>
    <row r="23">
      <c r="A23" s="149" t="inlineStr">
        <is>
          <t>S4 trimmed 6.0 7fr</t>
        </is>
      </c>
      <c r="B23" s="149" t="n">
        <v>15.41</v>
      </c>
      <c r="C23" s="149" t="inlineStr">
        <is>
          <t>agrees</t>
        </is>
      </c>
    </row>
    <row r="24">
      <c r="A24" s="149" t="inlineStr">
        <is>
          <t>S2a adverse 8.0 9fr</t>
        </is>
      </c>
      <c r="B24" s="149" t="n">
        <v>16.69</v>
      </c>
      <c r="C24" s="149" t="inlineStr">
        <is>
          <t>agrees</t>
        </is>
      </c>
    </row>
    <row r="25">
      <c r="A25" s="149" t="inlineStr">
        <is>
          <t>S2z zone 7.0@(0.75/0.88) 9fr</t>
        </is>
      </c>
      <c r="B25" s="149" t="n">
        <v>15.78</v>
      </c>
      <c r="C25" s="149" t="inlineStr">
        <is>
          <t>agrees</t>
        </is>
      </c>
    </row>
    <row r="26">
      <c r="A26" s="168" t="inlineStr">
        <is>
          <t>BaseMenu statics: C1 12.26/10.46, C2 14.68/12.74, C2+ 14.56/12.49, C2a 13.08/11.14, C6 12.49/11.29 re derived and agree.</t>
        </is>
      </c>
    </row>
    <row r="27">
      <c r="A27" s="168" t="inlineStr">
        <is>
          <t>Levers: L1 3.02/3.00, L2 0.79, L3 1.09 pre contingency; packages 11.28/9.47/8.11/10.38/7.46 re derived and agree.</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L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328125" defaultRowHeight="14.25" zeroHeight="0" outlineLevelRow="0"/>
  <cols>
    <col width="46" customWidth="1" style="149" min="1" max="1"/>
    <col width="18" customWidth="1" style="149" min="2" max="3"/>
    <col width="15" customWidth="1" style="149" min="4" max="4"/>
    <col width="13" customWidth="1" style="149" min="5" max="5"/>
    <col width="15" customWidth="1" style="149" min="6" max="6"/>
    <col width="13" customWidth="1" style="149" min="7" max="7"/>
  </cols>
  <sheetData>
    <row r="1" ht="16.5" customHeight="1" s="89">
      <c r="A1" s="150" t="inlineStr">
        <is>
          <t>Does the answer move? Fronts required under each availability scenario</t>
        </is>
      </c>
      <c r="L1" s="168" t="inlineStr">
        <is>
          <t>PURPOSE: how the fleet requirement moves with weather availability and the repair detail library.</t>
        </is>
      </c>
    </row>
    <row r="2" ht="14.25" customHeight="1" s="89">
      <c r="A2" s="151" t="inlineStr">
        <is>
          <t>This is the case for Option 2. Option 1 swings by five fronts across the range; Option 2 holds.</t>
        </is>
      </c>
    </row>
    <row r="4" ht="30" customHeight="1" s="89">
      <c r="A4" s="92" t="inlineStr">
        <is>
          <t>Scenario</t>
        </is>
      </c>
      <c r="B4" s="92" t="inlineStr">
        <is>
          <t>Floating availability (moves)</t>
        </is>
      </c>
      <c r="C4" s="92" t="inlineStr">
        <is>
          <t>Fixed availability (trade)</t>
        </is>
      </c>
      <c r="D4" s="92" t="inlineStr">
        <is>
          <t>Opt 1 cycle, days</t>
        </is>
      </c>
      <c r="E4" s="92" t="inlineStr">
        <is>
          <t>Opt 1 FRONTS</t>
        </is>
      </c>
      <c r="F4" s="92" t="inlineStr">
        <is>
          <t>Opt 2 cycle, days</t>
        </is>
      </c>
      <c r="G4" s="92" t="inlineStr">
        <is>
          <t>Opt 2 FRONTS</t>
        </is>
      </c>
    </row>
    <row r="5" ht="14.25" customHeight="1" s="89">
      <c r="A5" s="152" t="inlineStr">
        <is>
          <t>Marine review, pessimistic</t>
        </is>
      </c>
      <c r="B5" s="153" t="n">
        <v>0.6</v>
      </c>
      <c r="C5" s="153" t="n">
        <v>0.8</v>
      </c>
      <c r="D5" s="154">
        <f>Inputs!$B$9/B5+(Inputs!$B$10/1)/C5+Inputs!$B$11*(1-Inputs!$B$12)</f>
        <v/>
      </c>
      <c r="E5" s="155">
        <f>ROUNDUP((Inputs!$B$6/Inputs!$B$7)/(Inputs!$B$8/D5),0)</f>
        <v/>
      </c>
      <c r="F5" s="154">
        <f>Inputs!$B$9/B5+(Inputs!$B$10/(1+Inputs!$B$15))/C5+Inputs!$B$11*(1-Inputs!$B$12)</f>
        <v/>
      </c>
      <c r="G5" s="156">
        <f>ROUNDUP((Inputs!$B$6/Inputs!$B$7)/(Inputs!$B$8/F5),0)</f>
        <v/>
      </c>
    </row>
    <row r="6" ht="14.25" customHeight="1" s="89">
      <c r="A6" s="152" t="inlineStr">
        <is>
          <t>Marine review, mid</t>
        </is>
      </c>
      <c r="B6" s="153" t="n">
        <v>0.7</v>
      </c>
      <c r="C6" s="153" t="n">
        <v>0.85</v>
      </c>
      <c r="D6" s="154">
        <f>Inputs!$B$9/B6+(Inputs!$B$10/1)/C6+Inputs!$B$11*(1-Inputs!$B$12)</f>
        <v/>
      </c>
      <c r="E6" s="155">
        <f>ROUNDUP((Inputs!$B$6/Inputs!$B$7)/(Inputs!$B$8/D6),0)</f>
        <v/>
      </c>
      <c r="F6" s="154">
        <f>Inputs!$B$9/B6+(Inputs!$B$10/(1+Inputs!$B$15))/C6+Inputs!$B$11*(1-Inputs!$B$12)</f>
        <v/>
      </c>
      <c r="G6" s="156">
        <f>ROUNDUP((Inputs!$B$6/Inputs!$B$7)/(Inputs!$B$8/F6),0)</f>
        <v/>
      </c>
    </row>
    <row r="7" ht="14.25" customHeight="1" s="89">
      <c r="A7" s="152" t="inlineStr">
        <is>
          <t>Marine review, optimistic</t>
        </is>
      </c>
      <c r="B7" s="153" t="n">
        <v>0.8</v>
      </c>
      <c r="C7" s="153" t="n">
        <v>0.9</v>
      </c>
      <c r="D7" s="154">
        <f>Inputs!$B$9/B7+(Inputs!$B$10/1)/C7+Inputs!$B$11*(1-Inputs!$B$12)</f>
        <v/>
      </c>
      <c r="E7" s="155">
        <f>ROUNDUP((Inputs!$B$6/Inputs!$B$7)/(Inputs!$B$8/D7),0)</f>
        <v/>
      </c>
      <c r="F7" s="154">
        <f>Inputs!$B$9/B7+(Inputs!$B$10/(1+Inputs!$B$15))/C7+Inputs!$B$11*(1-Inputs!$B$12)</f>
        <v/>
      </c>
      <c r="G7" s="156">
        <f>ROUNDUP((Inputs!$B$6/Inputs!$B$7)/(Inputs!$B$8/F7),0)</f>
        <v/>
      </c>
    </row>
    <row r="8" ht="14.25" customHeight="1" s="89">
      <c r="A8" s="152" t="inlineStr">
        <is>
          <t>Draft A blanket 0.85</t>
        </is>
      </c>
      <c r="B8" s="153" t="n">
        <v>0.85</v>
      </c>
      <c r="C8" s="153" t="n">
        <v>0.85</v>
      </c>
      <c r="D8" s="154">
        <f>Inputs!$B$9/B8+(Inputs!$B$10/1)/C8+Inputs!$B$11*(1-Inputs!$B$12)</f>
        <v/>
      </c>
      <c r="E8" s="155">
        <f>ROUNDUP((Inputs!$B$6/Inputs!$B$7)/(Inputs!$B$8/D8),0)</f>
        <v/>
      </c>
      <c r="F8" s="154">
        <f>Inputs!$B$9/B8+(Inputs!$B$10/(1+Inputs!$B$15))/C8+Inputs!$B$11*(1-Inputs!$B$12)</f>
        <v/>
      </c>
      <c r="G8" s="156">
        <f>ROUNDUP((Inputs!$B$6/Inputs!$B$7)/(Inputs!$B$8/F8),0)</f>
        <v/>
      </c>
    </row>
    <row r="10" ht="15" customHeight="1" s="89">
      <c r="A10" s="157" t="inlineStr">
        <is>
          <t>Other stresses on Option 2 (mid availability unless stated)</t>
        </is>
      </c>
    </row>
    <row r="11" ht="30" customHeight="1" s="89">
      <c r="A11" s="92" t="inlineStr">
        <is>
          <t>Stress</t>
        </is>
      </c>
      <c r="B11" s="92" t="inlineStr">
        <is>
          <t>Opt 2 fronts</t>
        </is>
      </c>
    </row>
    <row r="12" ht="14.25" customHeight="1" s="89">
      <c r="A12" s="152" t="inlineStr">
        <is>
          <t>Night crew only 80 percent as productive</t>
        </is>
      </c>
      <c r="B12" s="158">
        <f>ROUNDUP((227/50.4)/(6/(2/0.7+(7/1.8)/0.85)),0)</f>
        <v/>
      </c>
    </row>
    <row r="13" ht="14.25" customHeight="1" s="89">
      <c r="A13" s="152" t="inlineStr">
        <is>
          <t>Marine moves take 3 days, not 2</t>
        </is>
      </c>
      <c r="B13" s="158">
        <f>ROUNDUP((227/50.4)/(6/(3/0.7+(7/1.95)/0.85)),0)</f>
        <v/>
      </c>
    </row>
    <row r="14" ht="14.25" customHeight="1" s="89">
      <c r="A14" s="152" t="inlineStr">
        <is>
          <t>Repair library NOT agreed</t>
        </is>
      </c>
      <c r="B14" s="158">
        <f>ROUNDUP((227/50.4)/(6/(2/0.7+(7/1.95)/0.85+3)),0)</f>
        <v/>
      </c>
    </row>
    <row r="15" ht="14.25" customHeight="1" s="89">
      <c r="A15" s="152" t="inlineStr">
        <is>
          <t>Scope is 257 bents, not 227</t>
        </is>
      </c>
      <c r="B15" s="158">
        <f>ROUNDUP((257/50.4)/(6/(2/0.7+(7/1.95)/0.85)),0)</f>
        <v/>
      </c>
    </row>
    <row r="16" ht="14.25" customHeight="1" s="89">
      <c r="A16" s="152" t="inlineStr">
        <is>
          <t>Pessimistic availability AND no library</t>
        </is>
      </c>
      <c r="B16" s="158">
        <f>ROUNDUP((227/50.4)/(6/(2/0.6+(7/1.95)/0.8+3)),0)</f>
        <v/>
      </c>
    </row>
    <row r="18" ht="14.25" customHeight="1" s="89">
      <c r="A18" s="159" t="inlineStr">
        <is>
          <t>A recommendation that holds still when the metocean lands is worth more to a risk averse board than a lower number that moves.</t>
        </is>
      </c>
    </row>
    <row r="19">
      <c r="A19" s="149" t="inlineStr">
        <is>
          <t>Compressed day pattern, trades 0600 to 2200 (Option 2 pattern B)</t>
        </is>
      </c>
      <c r="B19" s="149" t="inlineStr">
        <is>
          <t>n/a</t>
        </is>
      </c>
      <c r="C19" s="149" t="n">
        <v>6</v>
      </c>
      <c r="D19" s="149" t="inlineStr">
        <is>
          <t>Both trade shifts inside 0600 to 2200; 7 at mid availability; roster subject to trade contractor confirmation</t>
        </is>
      </c>
    </row>
  </sheetData>
  <mergeCells count="2">
    <mergeCell ref="A2:G2"/>
    <mergeCell ref="A18:G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9" min="1" max="1"/>
    <col width="16" customWidth="1" style="149" min="2" max="2"/>
    <col width="8" customWidth="1" style="149" min="3" max="3"/>
    <col width="60" customWidth="1" style="149" min="4" max="4"/>
  </cols>
  <sheetData>
    <row r="1" ht="15" customHeight="1" s="89">
      <c r="A1" s="145" t="inlineStr">
        <is>
          <t>SEASON PROGRAMME, Option 2 reported case</t>
        </is>
      </c>
      <c r="L1" s="168" t="inlineStr">
        <is>
          <t>PURPOSE: season splits, ramp allowance and modelled finish dates for each case.</t>
        </is>
      </c>
    </row>
    <row r="2" ht="15" customHeight="1" s="89">
      <c r="A2" s="133" t="inlineStr">
        <is>
          <t>Season level calculation from the reported fronts, cycle and calendar. A dated bent by bent programme with approvals, fabrication, outages and ship calls is a hold point deliverable before the fleet order.</t>
        </is>
      </c>
    </row>
    <row r="4" ht="15" customHeight="1" s="89">
      <c r="A4" s="141" t="inlineStr">
        <is>
          <t>Bents in the priority planning basis</t>
        </is>
      </c>
      <c r="B4" s="160">
        <f>Inputs!B6</f>
        <v/>
      </c>
      <c r="C4" s="141" t="inlineStr">
        <is>
          <t>ea</t>
        </is>
      </c>
      <c r="D4" s="133" t="inlineStr">
        <is>
          <t>Pending the STL priority and closeout register</t>
        </is>
      </c>
    </row>
    <row r="5" ht="15" customHeight="1" s="89">
      <c r="A5" s="141" t="inlineStr">
        <is>
          <t>Fronts, Option 2 reported case</t>
        </is>
      </c>
      <c r="B5" s="160">
        <f>Options!C15</f>
        <v/>
      </c>
      <c r="C5" s="141" t="inlineStr">
        <is>
          <t>ea</t>
        </is>
      </c>
      <c r="D5" s="133" t="inlineStr">
        <is>
          <t>From the Options sheet</t>
        </is>
      </c>
    </row>
    <row r="6" ht="15" customHeight="1" s="89">
      <c r="A6" s="141" t="inlineStr">
        <is>
          <t>Bents per week, one front</t>
        </is>
      </c>
      <c r="B6" s="160">
        <f>Options!C13</f>
        <v/>
      </c>
      <c r="C6" s="141" t="n"/>
      <c r="D6" s="133" t="inlineStr">
        <is>
          <t>From the Options sheet</t>
        </is>
      </c>
    </row>
    <row r="7" ht="15" customHeight="1" s="89">
      <c r="A7" s="141" t="inlineStr">
        <is>
          <t>Fleet rate</t>
        </is>
      </c>
      <c r="B7" s="161">
        <f>B5*B6</f>
        <v/>
      </c>
      <c r="C7" s="141" t="inlineStr">
        <is>
          <t>bents/wk</t>
        </is>
      </c>
      <c r="D7" s="133" t="inlineStr">
        <is>
          <t>Fronts times front rate</t>
        </is>
      </c>
    </row>
    <row r="8" ht="15" customHeight="1" s="89">
      <c r="A8" s="141" t="inlineStr">
        <is>
          <t>Season 1 start</t>
        </is>
      </c>
      <c r="B8" s="162" t="n">
        <v>46510</v>
      </c>
      <c r="C8" s="141" t="n"/>
      <c r="D8" s="133" t="inlineStr">
        <is>
          <t>After mobilisation, assembly and proof loading</t>
        </is>
      </c>
    </row>
    <row r="9" ht="15" customHeight="1" s="89">
      <c r="A9" s="141" t="inlineStr">
        <is>
          <t>Season 1 available weeks</t>
        </is>
      </c>
      <c r="B9" s="141" t="n">
        <v>26</v>
      </c>
      <c r="C9" s="141" t="inlineStr">
        <is>
          <t>wk</t>
        </is>
      </c>
      <c r="D9" s="133" t="inlineStr">
        <is>
          <t>3 May to 31 October 2027</t>
        </is>
      </c>
    </row>
    <row r="10" ht="15" customHeight="1" s="89">
      <c r="A10" s="141" t="inlineStr">
        <is>
          <t>Ramp weeks at 60 percent</t>
        </is>
      </c>
      <c r="B10" s="141" t="n">
        <v>2</v>
      </c>
      <c r="C10" s="141" t="inlineStr">
        <is>
          <t>wk</t>
        </is>
      </c>
      <c r="D10" s="133" t="inlineStr">
        <is>
          <t>First fronts through the learning curve</t>
        </is>
      </c>
    </row>
    <row r="11" ht="15" customHeight="1" s="89">
      <c r="A11" s="141" t="inlineStr">
        <is>
          <t>Season 1 bents</t>
        </is>
      </c>
      <c r="B11" s="160">
        <f>(B9-B10)*B7+B10*B7*0.6</f>
        <v/>
      </c>
      <c r="C11" s="141" t="inlineStr">
        <is>
          <t>ea</t>
        </is>
      </c>
      <c r="D11" s="133" t="inlineStr">
        <is>
          <t>Computed</t>
        </is>
      </c>
    </row>
    <row r="12" ht="15" customHeight="1" s="89">
      <c r="A12" s="141" t="inlineStr">
        <is>
          <t>Carried into season 2</t>
        </is>
      </c>
      <c r="B12" s="160">
        <f>B4-B11</f>
        <v/>
      </c>
      <c r="C12" s="141" t="inlineStr">
        <is>
          <t>ea</t>
        </is>
      </c>
      <c r="D12" s="133" t="inlineStr">
        <is>
          <t>Computed</t>
        </is>
      </c>
    </row>
    <row r="13" ht="15" customHeight="1" s="89">
      <c r="A13" s="141" t="inlineStr">
        <is>
          <t>Season 2 start</t>
        </is>
      </c>
      <c r="B13" s="162" t="n">
        <v>46874</v>
      </c>
      <c r="C13" s="141" t="n"/>
      <c r="D13" s="133" t="inlineStr">
        <is>
          <t>After the wet season lay up</t>
        </is>
      </c>
    </row>
    <row r="14" ht="15" customHeight="1" s="89">
      <c r="A14" s="141" t="inlineStr">
        <is>
          <t>Weeks required in season 2</t>
        </is>
      </c>
      <c r="B14" s="141">
        <f>B12/B7</f>
        <v/>
      </c>
      <c r="C14" s="141" t="inlineStr">
        <is>
          <t>wk</t>
        </is>
      </c>
      <c r="D14" s="133" t="inlineStr">
        <is>
          <t>Computed</t>
        </is>
      </c>
    </row>
    <row r="15" ht="15" customHeight="1" s="89">
      <c r="A15" s="141" t="inlineStr">
        <is>
          <t>Modelled finish</t>
        </is>
      </c>
      <c r="B15" s="163">
        <f>B13+B14*7</f>
        <v/>
      </c>
      <c r="C15" s="141" t="n"/>
      <c r="D15" s="133" t="inlineStr">
        <is>
          <t>Computed</t>
        </is>
      </c>
    </row>
    <row r="16" ht="15" customHeight="1" s="89">
      <c r="A16" s="141" t="inlineStr">
        <is>
          <t>Days before the 1 November closure</t>
        </is>
      </c>
      <c r="B16" s="141">
        <f>DATE(2028,11,1)-B15</f>
        <v/>
      </c>
      <c r="C16" s="141" t="inlineStr">
        <is>
          <t>d</t>
        </is>
      </c>
      <c r="D16" s="133" t="inlineStr">
        <is>
          <t>Operational margin</t>
        </is>
      </c>
    </row>
    <row r="17" ht="15" customHeight="1" s="89">
      <c r="A17" s="141" t="inlineStr">
        <is>
          <t>Days before the administrative end 2028 date</t>
        </is>
      </c>
      <c r="B17" s="141">
        <f>DATE(2028,12,31)-B15</f>
        <v/>
      </c>
      <c r="C17" s="141" t="inlineStr">
        <is>
          <t>d</t>
        </is>
      </c>
      <c r="D17" s="133" t="inlineStr">
        <is>
          <t>Contract margin</t>
        </is>
      </c>
    </row>
    <row r="19">
      <c r="A19" s="148" t="inlineStr">
        <is>
          <t>ADDED AT REV B</t>
        </is>
      </c>
    </row>
    <row r="20">
      <c r="A20" s="149" t="inlineStr">
        <is>
          <t>Option 1, 8 fronts at reported availabilities: season one about 118 bents, season two 23.4 weeks, modelled finish 11 Oct 2028, 21 days before closure</t>
        </is>
      </c>
      <c r="B20" s="149" t="inlineStr">
        <is>
          <t>computed</t>
        </is>
      </c>
    </row>
    <row r="21">
      <c r="A21" s="149" t="inlineStr">
        <is>
          <t>C2 zone phased, fleet held: season two at 0.82 fixed availability runs 25.1 weeks, modelled finish about 23 Oct 2028, 9 days before closure</t>
        </is>
      </c>
      <c r="B21" s="149" t="inlineStr">
        <is>
          <t>computed</t>
        </is>
      </c>
    </row>
    <row r="22">
      <c r="A22" s="149" t="inlineStr">
        <is>
          <t>C2+ one added season two front: 22.3 weeks, modelled finish about 4 Oct 2028, 28 days before closure</t>
        </is>
      </c>
      <c r="B22" s="149" t="inlineStr">
        <is>
          <t>computed</t>
        </is>
      </c>
    </row>
    <row r="23">
      <c r="A23" s="149" t="inlineStr">
        <is>
          <t>Compressed day pattern (Option 2 pattern B), 6 fronts: campaign 46.4 weeks, finish inside season two with about 3 weeks float</t>
        </is>
      </c>
      <c r="B23" s="149" t="inlineStr">
        <is>
          <t>computed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L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49" min="1" max="1"/>
    <col width="12" customWidth="1" style="149" min="2" max="2"/>
    <col width="16" customWidth="1" style="149" min="3" max="3"/>
    <col width="14" customWidth="1" style="149" min="4" max="4"/>
    <col width="46" customWidth="1" style="149" min="5" max="5"/>
  </cols>
  <sheetData>
    <row r="1" ht="15" customHeight="1" s="89">
      <c r="A1" s="145" t="inlineStr">
        <is>
          <t>ACCESS RATES TRACED TO THE SUPPLIER RATE CARD</t>
        </is>
      </c>
      <c r="L1" s="168" t="inlineStr">
        <is>
          <t>PURPOSE: the access supplier rate card lines used, as quoted.</t>
        </is>
      </c>
    </row>
    <row r="2" ht="15" customHeight="1" s="89">
      <c r="A2" s="133" t="inlineStr">
        <is>
          <t>GGC Rate Card dated 20 August 2026, rates exclude GST. Every access rate used in this model is listed against its card line.</t>
        </is>
      </c>
    </row>
    <row r="4" ht="15" customHeight="1" s="89">
      <c r="A4" s="141" t="inlineStr">
        <is>
          <t>KIT BUILD UP, one front week</t>
        </is>
      </c>
      <c r="C4" s="141" t="n"/>
      <c r="E4" s="133" t="n"/>
    </row>
    <row r="5" ht="15" customHeight="1" s="89">
      <c r="A5" s="141" t="inlineStr">
        <is>
          <t>4 x Kito 2 t electric chain block</t>
        </is>
      </c>
      <c r="B5" s="144" t="n">
        <v>200</v>
      </c>
      <c r="C5" s="141" t="inlineStr">
        <is>
          <t>per week each</t>
        </is>
      </c>
      <c r="D5" s="144" t="n">
        <v>800</v>
      </c>
      <c r="E5" s="133" t="inlineStr">
        <is>
          <t>Card 4.92</t>
        </is>
      </c>
    </row>
    <row r="6" ht="15" customHeight="1" s="89">
      <c r="A6" s="141" t="inlineStr">
        <is>
          <t>Control panel and wireless pendant</t>
        </is>
      </c>
      <c r="B6" s="144" t="n">
        <v>500</v>
      </c>
      <c r="C6" s="141" t="inlineStr">
        <is>
          <t>per week</t>
        </is>
      </c>
      <c r="D6" s="144" t="n">
        <v>500</v>
      </c>
      <c r="E6" s="133" t="inlineStr">
        <is>
          <t>Card 4.93</t>
        </is>
      </c>
    </row>
    <row r="7" ht="15" customHeight="1" s="89">
      <c r="A7" s="141" t="inlineStr">
        <is>
          <t>4 x 9 m modular pontoon</t>
        </is>
      </c>
      <c r="B7" s="144" t="n">
        <v>100</v>
      </c>
      <c r="C7" s="141" t="inlineStr">
        <is>
          <t>per day each</t>
        </is>
      </c>
      <c r="D7" s="144" t="n">
        <v>2400</v>
      </c>
      <c r="E7" s="133" t="inlineStr">
        <is>
          <t>Card 4.7, six day week</t>
        </is>
      </c>
    </row>
    <row r="8" ht="15" customHeight="1" s="89">
      <c r="A8" s="141" t="inlineStr">
        <is>
          <t>240 v winch with davit arm, SWL 500 kg</t>
        </is>
      </c>
      <c r="B8" s="144" t="n">
        <v>500</v>
      </c>
      <c r="C8" s="141" t="inlineStr">
        <is>
          <t>per week</t>
        </is>
      </c>
      <c r="D8" s="144" t="n">
        <v>500</v>
      </c>
      <c r="E8" s="133" t="inlineStr">
        <is>
          <t>Card 4.97</t>
        </is>
      </c>
    </row>
    <row r="9" ht="15" customHeight="1" s="89">
      <c r="A9" s="141" t="inlineStr">
        <is>
          <t>20 kVA genset</t>
        </is>
      </c>
      <c r="B9" s="144" t="n">
        <v>1200</v>
      </c>
      <c r="C9" s="141" t="inlineStr">
        <is>
          <t>per week</t>
        </is>
      </c>
      <c r="D9" s="144" t="n">
        <v>1200</v>
      </c>
      <c r="E9" s="133" t="inlineStr">
        <is>
          <t>Card 4.98</t>
        </is>
      </c>
    </row>
    <row r="10" ht="15" customHeight="1" s="89">
      <c r="A10" s="141" t="inlineStr">
        <is>
          <t>Kit total per front week</t>
        </is>
      </c>
      <c r="C10" s="141" t="n"/>
      <c r="D10" s="146" t="n">
        <v>5400</v>
      </c>
      <c r="E10" s="133" t="inlineStr">
        <is>
          <t>Reconciles to Inputs B20</t>
        </is>
      </c>
    </row>
    <row r="11" ht="15" customHeight="1" s="89">
      <c r="A11" s="141" t="n"/>
      <c r="C11" s="141" t="n"/>
      <c r="E11" s="133" t="n"/>
    </row>
    <row r="12" ht="15" customHeight="1" s="89">
      <c r="A12" s="145" t="inlineStr">
        <is>
          <t>OTHER CARD RATES USED</t>
        </is>
      </c>
      <c r="C12" s="141" t="n"/>
      <c r="E12" s="133" t="n"/>
    </row>
    <row r="13" ht="15" customHeight="1" s="89">
      <c r="A13" s="141" t="inlineStr">
        <is>
          <t>20 t Franna support crane</t>
        </is>
      </c>
      <c r="B13" s="144" t="n">
        <v>2600</v>
      </c>
      <c r="C13" s="141" t="inlineStr">
        <is>
          <t>per week</t>
        </is>
      </c>
      <c r="E13" s="133" t="inlineStr">
        <is>
          <t>Card 5.2, minimum hire six months; campaign is 48 weeks</t>
        </is>
      </c>
    </row>
    <row r="14" ht="15" customHeight="1" s="89">
      <c r="A14" s="141" t="inlineStr">
        <is>
          <t>Scaffolder and rigger</t>
        </is>
      </c>
      <c r="B14" s="144" t="n">
        <v>140</v>
      </c>
      <c r="C14" s="141" t="inlineStr">
        <is>
          <t>per hour</t>
        </is>
      </c>
      <c r="E14" s="133" t="inlineStr">
        <is>
          <t>Card 2.4</t>
        </is>
      </c>
    </row>
    <row r="15" ht="15" customHeight="1" s="89">
      <c r="A15" s="141" t="inlineStr">
        <is>
          <t>Coxswain</t>
        </is>
      </c>
      <c r="B15" s="144" t="n">
        <v>125</v>
      </c>
      <c r="C15" s="141" t="inlineStr">
        <is>
          <t>per hour</t>
        </is>
      </c>
      <c r="E15" s="133" t="inlineStr">
        <is>
          <t>Card 2.3</t>
        </is>
      </c>
    </row>
    <row r="16" ht="15" customHeight="1" s="89">
      <c r="A16" s="141" t="inlineStr">
        <is>
          <t>Deckhand</t>
        </is>
      </c>
      <c r="B16" s="144" t="n">
        <v>110</v>
      </c>
      <c r="C16" s="141" t="inlineStr">
        <is>
          <t>per hour</t>
        </is>
      </c>
      <c r="E16" s="133" t="inlineStr">
        <is>
          <t>Card 2.2</t>
        </is>
      </c>
    </row>
    <row r="17" ht="15" customHeight="1" s="89">
      <c r="A17" s="141" t="inlineStr">
        <is>
          <t>Blended access labour used in this model</t>
        </is>
      </c>
      <c r="B17" s="144" t="n">
        <v>150</v>
      </c>
      <c r="C17" s="141" t="inlineStr">
        <is>
          <t>per hour</t>
        </is>
      </c>
      <c r="E17" s="133" t="inlineStr">
        <is>
          <t>Above the card trades listed; conservative, covers leading hand and fitter content</t>
        </is>
      </c>
    </row>
    <row r="18" ht="15" customHeight="1" s="89">
      <c r="A18" s="141" t="inlineStr">
        <is>
          <t>Living away from home allowance</t>
        </is>
      </c>
      <c r="B18" s="144" t="n">
        <v>300</v>
      </c>
      <c r="C18" s="141" t="inlineStr">
        <is>
          <t>per day</t>
        </is>
      </c>
      <c r="E18" s="133" t="inlineStr">
        <is>
          <t>Card 3.6</t>
        </is>
      </c>
    </row>
    <row r="19" ht="15" customHeight="1" s="89">
      <c r="A19" s="141" t="inlineStr">
        <is>
          <t>Remote area allowance</t>
        </is>
      </c>
      <c r="B19" s="144" t="n">
        <v>50</v>
      </c>
      <c r="C19" s="141" t="inlineStr">
        <is>
          <t>per day</t>
        </is>
      </c>
      <c r="E19" s="133" t="inlineStr">
        <is>
          <t>Card 3.9</t>
        </is>
      </c>
    </row>
    <row r="20" ht="15" customHeight="1" s="89">
      <c r="A20" s="141" t="inlineStr">
        <is>
          <t>Allowances used in this model</t>
        </is>
      </c>
      <c r="B20" s="144" t="n">
        <v>350</v>
      </c>
      <c r="C20" s="141" t="inlineStr">
        <is>
          <t>per day</t>
        </is>
      </c>
      <c r="E20" s="133" t="inlineStr">
        <is>
          <t>Card 3.6 plus 3.9</t>
        </is>
      </c>
    </row>
    <row r="21" ht="15" customHeight="1" s="89">
      <c r="A21" s="141" t="inlineStr">
        <is>
          <t>Night shift uplift</t>
        </is>
      </c>
      <c r="B21" s="164" t="n">
        <v>0.3</v>
      </c>
      <c r="C21" s="141" t="inlineStr">
        <is>
          <t>on labour</t>
        </is>
      </c>
      <c r="E21" s="133" t="inlineStr">
        <is>
          <t>Card pricing note 6.5</t>
        </is>
      </c>
    </row>
    <row r="22" ht="15" customHeight="1" s="89">
      <c r="A22" s="141" t="n"/>
      <c r="C22" s="141" t="n"/>
      <c r="E22" s="133" t="n"/>
    </row>
    <row r="23" ht="15" customHeight="1" s="89">
      <c r="A23" s="145" t="inlineStr">
        <is>
          <t>CARD CONDITIONS CARRIED</t>
        </is>
      </c>
      <c r="C23" s="141" t="n"/>
      <c r="E23" s="133" t="n"/>
    </row>
    <row r="24" ht="15" customHeight="1" s="89">
      <c r="A24" s="141" t="inlineStr">
        <is>
          <t>Minimum charge out</t>
        </is>
      </c>
      <c r="B24" s="141" t="inlineStr">
        <is>
          <t>8 hours</t>
        </is>
      </c>
      <c r="C24" s="141" t="n"/>
      <c r="E24" s="133" t="inlineStr">
        <is>
          <t>Card 6.3; model uses 10 hour shifts</t>
        </is>
      </c>
    </row>
    <row r="25" ht="15" customHeight="1" s="89">
      <c r="A25" s="141" t="inlineStr">
        <is>
          <t>Annual rate increase</t>
        </is>
      </c>
      <c r="B25" s="141" t="inlineStr">
        <is>
          <t>excluded</t>
        </is>
      </c>
      <c r="C25" s="141" t="n"/>
      <c r="E25" s="133" t="inlineStr">
        <is>
          <t>Card 6.2; escalation is a stated exclusion</t>
        </is>
      </c>
    </row>
    <row r="26" ht="15" customHeight="1" s="89">
      <c r="A26" s="141" t="inlineStr">
        <is>
          <t>Consumables at cost plus</t>
        </is>
      </c>
      <c r="B26" s="141" t="inlineStr">
        <is>
          <t>noted</t>
        </is>
      </c>
      <c r="C26" s="141" t="n"/>
      <c r="E26" s="133" t="inlineStr">
        <is>
          <t>Card 6.9; trade consumables sit outside this access scope</t>
        </is>
      </c>
    </row>
    <row r="28" ht="15" customHeight="1" s="89">
      <c r="A28" s="145" t="inlineStr">
        <is>
          <t>ACCESS LABOUR BUILD UP, from the card</t>
        </is>
      </c>
    </row>
    <row r="29" ht="15" customHeight="1" s="89">
      <c r="A29" s="141" t="inlineStr">
        <is>
          <t>5 x scaffolder or rigger</t>
        </is>
      </c>
      <c r="B29" s="147" t="n">
        <v>140</v>
      </c>
      <c r="C29" s="141" t="inlineStr">
        <is>
          <t>per hour</t>
        </is>
      </c>
      <c r="E29" s="133" t="inlineStr">
        <is>
          <t>Card 2.4</t>
        </is>
      </c>
    </row>
    <row r="30" ht="15" customHeight="1" s="89">
      <c r="A30" s="141" t="inlineStr">
        <is>
          <t>1 x coxswain</t>
        </is>
      </c>
      <c r="B30" s="147" t="n">
        <v>125</v>
      </c>
      <c r="C30" s="141" t="inlineStr">
        <is>
          <t>per hour</t>
        </is>
      </c>
      <c r="E30" s="133" t="inlineStr">
        <is>
          <t>Card 2.3</t>
        </is>
      </c>
    </row>
    <row r="31" ht="15" customHeight="1" s="89">
      <c r="A31" s="141" t="inlineStr">
        <is>
          <t>1 x deckhand</t>
        </is>
      </c>
      <c r="B31" s="147" t="n">
        <v>110</v>
      </c>
      <c r="C31" s="141" t="inlineStr">
        <is>
          <t>per hour</t>
        </is>
      </c>
      <c r="E31" s="133" t="inlineStr">
        <is>
          <t>Card 2.2</t>
        </is>
      </c>
    </row>
    <row r="32" ht="15" customHeight="1" s="89">
      <c r="A32" s="141" t="inlineStr">
        <is>
          <t>Leading hand allowance</t>
        </is>
      </c>
      <c r="B32" s="147" t="n">
        <v>10</v>
      </c>
      <c r="C32" s="141" t="inlineStr">
        <is>
          <t>per hour</t>
        </is>
      </c>
      <c r="E32" s="133" t="inlineStr">
        <is>
          <t>Card 3.1, one of seven</t>
        </is>
      </c>
    </row>
    <row r="33" ht="15" customHeight="1" s="89">
      <c r="A33" s="141" t="inlineStr">
        <is>
          <t>Day crew blended</t>
        </is>
      </c>
      <c r="B33" s="147" t="n">
        <v>135</v>
      </c>
      <c r="C33" s="141" t="inlineStr">
        <is>
          <t>per hour</t>
        </is>
      </c>
      <c r="E33" s="133" t="inlineStr">
        <is>
          <t>Weighted over the seven heads</t>
        </is>
      </c>
    </row>
    <row r="34" ht="15" customHeight="1" s="89">
      <c r="A34" s="141" t="inlineStr">
        <is>
          <t>Day head day cost</t>
        </is>
      </c>
      <c r="B34" s="147" t="n">
        <v>1700</v>
      </c>
      <c r="C34" s="141" t="inlineStr">
        <is>
          <t>per 10 h shift</t>
        </is>
      </c>
      <c r="E34" s="133" t="inlineStr">
        <is>
          <t>Blended rate plus 350 allowances</t>
        </is>
      </c>
    </row>
    <row r="35" ht="15" customHeight="1" s="89">
      <c r="A35" s="141" t="inlineStr">
        <is>
          <t>Night standby blended</t>
        </is>
      </c>
      <c r="B35" s="147" t="n">
        <v>117.5</v>
      </c>
      <c r="C35" s="141" t="inlineStr">
        <is>
          <t>per hour</t>
        </is>
      </c>
      <c r="E35" s="133" t="inlineStr">
        <is>
          <t>Coxswain and deckhand only</t>
        </is>
      </c>
    </row>
    <row r="36" ht="15" customHeight="1" s="89">
      <c r="A36" s="141" t="inlineStr">
        <is>
          <t>Night head day cost</t>
        </is>
      </c>
      <c r="B36" s="147" t="n">
        <v>1877.5</v>
      </c>
      <c r="C36" s="141" t="inlineStr">
        <is>
          <t>per 10 h shift</t>
        </is>
      </c>
      <c r="E36" s="133" t="inlineStr">
        <is>
          <t>Blended rate plus 30 percent uplift, plus 350 allowances</t>
        </is>
      </c>
    </row>
    <row r="37" ht="15" customHeight="1" s="89">
      <c r="A37" s="141" t="inlineStr">
        <is>
          <t>Trade labour</t>
        </is>
      </c>
      <c r="B37" s="141" t="inlineStr">
        <is>
          <t>excluded</t>
        </is>
      </c>
      <c r="C37" s="141" t="n"/>
      <c r="E37" s="133" t="inlineStr">
        <is>
          <t>Remains inside the contractor lump sums; unchanged by this study</t>
        </is>
      </c>
    </row>
    <row r="39" ht="15" customHeight="1" s="89">
      <c r="A39" s="145" t="inlineStr">
        <is>
          <t>CONTRACT SCHEDULE OF RATES USED, 2027 COLUMN</t>
        </is>
      </c>
    </row>
    <row r="40" ht="15" customHeight="1" s="89">
      <c r="A40" s="141" t="inlineStr">
        <is>
          <t>Scaffolder</t>
        </is>
      </c>
      <c r="B40" s="147" t="n">
        <v>110</v>
      </c>
      <c r="C40" s="141" t="inlineStr">
        <is>
          <t>per hour</t>
        </is>
      </c>
      <c r="E40" s="133" t="inlineStr">
        <is>
          <t>Contract 4.1.2</t>
        </is>
      </c>
    </row>
    <row r="41" ht="15" customHeight="1" s="89">
      <c r="A41" s="141" t="inlineStr">
        <is>
          <t>Labourer</t>
        </is>
      </c>
      <c r="B41" s="147" t="n">
        <v>110</v>
      </c>
      <c r="C41" s="141" t="inlineStr">
        <is>
          <t>per hour</t>
        </is>
      </c>
      <c r="E41" s="133" t="inlineStr">
        <is>
          <t>Contract 4.1.3</t>
        </is>
      </c>
    </row>
    <row r="42" ht="15" customHeight="1" s="89">
      <c r="A42" s="141" t="inlineStr">
        <is>
          <t>Supervisor</t>
        </is>
      </c>
      <c r="B42" s="147" t="n">
        <v>130</v>
      </c>
      <c r="C42" s="141" t="inlineStr">
        <is>
          <t>per hour</t>
        </is>
      </c>
      <c r="E42" s="133" t="inlineStr">
        <is>
          <t>Contract 4.1.5</t>
        </is>
      </c>
    </row>
    <row r="43" ht="15" customHeight="1" s="89">
      <c r="A43" s="141" t="inlineStr">
        <is>
          <t>Boilermaker</t>
        </is>
      </c>
      <c r="B43" s="147" t="n">
        <v>150</v>
      </c>
      <c r="C43" s="141" t="inlineStr">
        <is>
          <t>per hour</t>
        </is>
      </c>
      <c r="E43" s="133" t="inlineStr">
        <is>
          <t>Contract 4.1.1</t>
        </is>
      </c>
    </row>
    <row r="44" ht="15" customHeight="1" s="89">
      <c r="A44" s="141" t="inlineStr">
        <is>
          <t>Scaffold hire, typical pilebent</t>
        </is>
      </c>
      <c r="B44" s="147" t="n">
        <v>88.2</v>
      </c>
      <c r="C44" s="141" t="inlineStr">
        <is>
          <t>per day</t>
        </is>
      </c>
      <c r="E44" s="133" t="inlineStr">
        <is>
          <t>Contract 4.2.10</t>
        </is>
      </c>
    </row>
    <row r="45" ht="15" customHeight="1" s="89">
      <c r="A45" s="141" t="inlineStr">
        <is>
          <t>Compressor</t>
        </is>
      </c>
      <c r="B45" s="147" t="n">
        <v>310</v>
      </c>
      <c r="C45" s="141" t="inlineStr">
        <is>
          <t>per day</t>
        </is>
      </c>
      <c r="E45" s="133" t="inlineStr">
        <is>
          <t>Contract 4.2.4</t>
        </is>
      </c>
    </row>
    <row r="46" ht="15" customHeight="1" s="89">
      <c r="A46" s="141" t="inlineStr">
        <is>
          <t>Generator</t>
        </is>
      </c>
      <c r="B46" s="147" t="n">
        <v>485</v>
      </c>
      <c r="C46" s="141" t="inlineStr">
        <is>
          <t>per day</t>
        </is>
      </c>
      <c r="E46" s="133" t="inlineStr">
        <is>
          <t>Contract 4.2.2</t>
        </is>
      </c>
    </row>
    <row r="47" ht="15" customHeight="1" s="89">
      <c r="A47" s="141" t="inlineStr">
        <is>
          <t>Airprep</t>
        </is>
      </c>
      <c r="B47" s="147" t="n">
        <v>80</v>
      </c>
      <c r="C47" s="141" t="inlineStr">
        <is>
          <t>per day</t>
        </is>
      </c>
      <c r="E47" s="133" t="inlineStr">
        <is>
          <t>Contract 4.2.6</t>
        </is>
      </c>
    </row>
    <row r="48" ht="15" customHeight="1" s="89">
      <c r="A48" s="141" t="inlineStr">
        <is>
          <t>Coxswain</t>
        </is>
      </c>
      <c r="B48" s="147" t="n">
        <v>125</v>
      </c>
      <c r="C48" s="141" t="inlineStr">
        <is>
          <t>per hour</t>
        </is>
      </c>
      <c r="E48" s="133" t="inlineStr">
        <is>
          <t>Supplier card 2.3, no contract equivalent</t>
        </is>
      </c>
    </row>
    <row r="49" ht="15" customHeight="1" s="89">
      <c r="A49" s="141" t="inlineStr">
        <is>
          <t>Deckhand</t>
        </is>
      </c>
      <c r="B49" s="147" t="n">
        <v>110</v>
      </c>
      <c r="C49" s="141" t="inlineStr">
        <is>
          <t>per hour</t>
        </is>
      </c>
      <c r="E49" s="133" t="inlineStr">
        <is>
          <t>Supplier card 2.2, no contract equivalent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L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49" min="1" max="1"/>
    <col width="16" customWidth="1" style="149" min="2" max="2"/>
    <col width="10" customWidth="1" style="149" min="3" max="3"/>
    <col width="56" customWidth="1" style="149" min="4" max="4"/>
  </cols>
  <sheetData>
    <row r="1" ht="15" customHeight="1" s="89">
      <c r="A1" s="145" t="inlineStr">
        <is>
          <t>OPTION 1 WITHOUT A FLOATING MARINE BASE</t>
        </is>
      </c>
      <c r="L1" s="168" t="inlineStr">
        <is>
          <t>PURPOSE: the no marine base case built line by line; ties to the Scenarios sheet first row.</t>
        </is>
      </c>
    </row>
    <row r="2" ht="15" customHeight="1" s="89">
      <c r="A2" s="133" t="inlineStr">
        <is>
          <t>Requested by STL 21 August 2026. Services taken from the wharf using the existing layup areas and wharf head facilities, as described by STL. Indicative; the operability derate and the deck services build are engineering judgement and are to be tested at the proving trial.</t>
        </is>
      </c>
    </row>
    <row r="4" ht="15" customHeight="1" s="89">
      <c r="A4" s="141" t="inlineStr">
        <is>
          <t>Floating availability, moves</t>
        </is>
      </c>
      <c r="B4" s="165" t="n">
        <v>0.8</v>
      </c>
      <c r="C4" s="141" t="n"/>
      <c r="D4" s="133" t="inlineStr">
        <is>
          <t>Unchanged; workboat and crane still support moves</t>
        </is>
      </c>
    </row>
    <row r="5" ht="15" customHeight="1" s="89">
      <c r="A5" s="141" t="inlineStr">
        <is>
          <t>Fixed availability, trade work</t>
        </is>
      </c>
      <c r="B5" s="165" t="n">
        <v>0.82</v>
      </c>
      <c r="C5" s="141" t="n"/>
      <c r="D5" s="133" t="inlineStr">
        <is>
          <t>Derated from 0.90: crews transit to wharf head or layup areas for amenities and stores</t>
        </is>
      </c>
    </row>
    <row r="6" ht="15" customHeight="1" s="89">
      <c r="A6" s="141" t="inlineStr">
        <is>
          <t>Effective cycle</t>
        </is>
      </c>
      <c r="B6" s="161">
        <f>2/B4+7/B5</f>
        <v/>
      </c>
      <c r="C6" s="141" t="inlineStr">
        <is>
          <t>days</t>
        </is>
      </c>
      <c r="D6" s="133" t="inlineStr">
        <is>
          <t>Same trade content, no night shift</t>
        </is>
      </c>
    </row>
    <row r="7" ht="15" customHeight="1" s="89">
      <c r="A7" s="141" t="inlineStr">
        <is>
          <t>Bents per week, one front</t>
        </is>
      </c>
      <c r="B7" s="161">
        <f>6/B6</f>
        <v/>
      </c>
      <c r="C7" s="141" t="n"/>
      <c r="D7" s="133" t="inlineStr">
        <is>
          <t>Six day week</t>
        </is>
      </c>
    </row>
    <row r="8" ht="15" customHeight="1" s="89">
      <c r="A8" s="141" t="inlineStr">
        <is>
          <t>Fronts required</t>
        </is>
      </c>
      <c r="B8" s="160">
        <f>ROUNDUP((227/50.4)/B7,0)</f>
        <v/>
      </c>
      <c r="C8" s="141" t="inlineStr">
        <is>
          <t>ea</t>
        </is>
      </c>
      <c r="D8" s="133" t="inlineStr">
        <is>
          <t>Rises from eight</t>
        </is>
      </c>
    </row>
    <row r="9" ht="15" customHeight="1" s="89">
      <c r="A9" s="141" t="inlineStr">
        <is>
          <t>Campaign weeks</t>
        </is>
      </c>
      <c r="B9" s="161">
        <f>MIN(50.4,227/(B8*B7))</f>
        <v/>
      </c>
      <c r="C9" s="141" t="inlineStr">
        <is>
          <t>wk</t>
        </is>
      </c>
      <c r="D9" s="133" t="n"/>
    </row>
    <row r="10" ht="15" customHeight="1" s="89">
      <c r="A10" s="141" t="inlineStr">
        <is>
          <t>Access kit and support crane</t>
        </is>
      </c>
      <c r="B10" s="144">
        <f>(5400*B8+2600)*B9</f>
        <v/>
      </c>
      <c r="C10" s="141" t="inlineStr">
        <is>
          <t>$</t>
        </is>
      </c>
      <c r="D10" s="133" t="inlineStr">
        <is>
          <t>Card rates, unchanged</t>
        </is>
      </c>
    </row>
    <row r="11" ht="15" customHeight="1" s="89">
      <c r="A11" s="141" t="inlineStr">
        <is>
          <t>Deck based services</t>
        </is>
      </c>
      <c r="B11" s="144">
        <f>875*6*B9*ROUNDUP(B8/2,0)</f>
        <v/>
      </c>
      <c r="C11" s="141" t="inlineStr">
        <is>
          <t>$</t>
        </is>
      </c>
      <c r="D11" s="133" t="inlineStr">
        <is>
          <t>Generator 485, compressor 310, airprep 80 per day, one set per two fronts, contract items 4.2.2, 4.2.4 and 4.2.6</t>
        </is>
      </c>
    </row>
    <row r="12" ht="15" customHeight="1" s="89">
      <c r="A12" s="141" t="inlineStr">
        <is>
          <t>Access crew labour</t>
        </is>
      </c>
      <c r="B12" s="144">
        <f>ROUNDUP(B8*1.3333,0)*6*B9*1471.43</f>
        <v/>
      </c>
      <c r="C12" s="141" t="inlineStr">
        <is>
          <t>$</t>
        </is>
      </c>
      <c r="D12" s="133" t="inlineStr">
        <is>
          <t>Contract rates 4.1.2 and 4.1.5</t>
        </is>
      </c>
    </row>
    <row r="13" ht="15" customHeight="1" s="89">
      <c r="A13" s="141" t="inlineStr">
        <is>
          <t>Fixed lines, marine base items removed</t>
        </is>
      </c>
      <c r="B13" s="144" t="n">
        <v>1480709</v>
      </c>
      <c r="C13" s="141" t="inlineStr">
        <is>
          <t>$</t>
        </is>
      </c>
      <c r="D13" s="133" t="inlineStr">
        <is>
          <t>Marine standby and part of marine mobilisation removed; workboat, certification, trial and kit standby retained</t>
        </is>
      </c>
    </row>
    <row r="14" ht="15" customHeight="1" s="89">
      <c r="A14" s="141" t="inlineStr">
        <is>
          <t>Subtotal</t>
        </is>
      </c>
      <c r="B14" s="144">
        <f>B10+B11+B12+B13</f>
        <v/>
      </c>
      <c r="C14" s="141" t="inlineStr">
        <is>
          <t>$</t>
        </is>
      </c>
      <c r="D14" s="133" t="n"/>
    </row>
    <row r="15" ht="15" customHeight="1" s="89">
      <c r="A15" s="141" t="inlineStr">
        <is>
          <t>Contingency 25 percent</t>
        </is>
      </c>
      <c r="B15" s="144">
        <f>B14*0.25</f>
        <v/>
      </c>
      <c r="C15" s="141" t="inlineStr">
        <is>
          <t>$</t>
        </is>
      </c>
      <c r="D15" s="133" t="n"/>
    </row>
    <row r="16" ht="15" customHeight="1" s="89">
      <c r="A16" s="145" t="inlineStr">
        <is>
          <t>TOTAL, no floating base</t>
        </is>
      </c>
      <c r="B16" s="144">
        <f>B14+B15</f>
        <v/>
      </c>
      <c r="C16" s="141" t="inlineStr">
        <is>
          <t>$</t>
        </is>
      </c>
      <c r="D16" s="133" t="n"/>
    </row>
    <row r="17" ht="15" customHeight="1" s="89">
      <c r="A17" s="141" t="inlineStr">
        <is>
          <t>Option 1 with the jack up</t>
        </is>
      </c>
      <c r="B17" s="144">
        <f>Options!B34</f>
        <v/>
      </c>
      <c r="C17" s="141" t="inlineStr">
        <is>
          <t>$</t>
        </is>
      </c>
      <c r="D17" s="133" t="inlineStr">
        <is>
          <t>For comparison</t>
        </is>
      </c>
    </row>
    <row r="18" ht="15" customHeight="1" s="89">
      <c r="A18" s="141" t="inlineStr">
        <is>
          <t>Difference</t>
        </is>
      </c>
      <c r="B18" s="144">
        <f>B17-B16</f>
        <v/>
      </c>
      <c r="C18" s="141" t="inlineStr">
        <is>
          <t>$</t>
        </is>
      </c>
      <c r="D18" s="133" t="inlineStr">
        <is>
          <t>Saving from removing the base, net of the deck services it needs</t>
        </is>
      </c>
    </row>
    <row r="19" ht="15" customHeight="1" s="89">
      <c r="A19" s="141" t="inlineStr">
        <is>
          <t>Fronts, with base against without</t>
        </is>
      </c>
      <c r="B19" s="160">
        <f>Options!B15</f>
        <v/>
      </c>
      <c r="C19" s="141" t="inlineStr">
        <is>
          <t>ea</t>
        </is>
      </c>
      <c r="D19" s="133" t="inlineStr">
        <is>
          <t>Compare with the fronts figure above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L18"/>
  <sheetViews>
    <sheetView workbookViewId="0">
      <pane ySplit="3" topLeftCell="A4" activePane="bottomLeft" state="frozen"/>
      <selection pane="bottomLeft" activeCell="A1" sqref="A1"/>
    </sheetView>
  </sheetViews>
  <sheetFormatPr baseColWidth="8" defaultRowHeight="15"/>
  <cols>
    <col width="52" customWidth="1" style="89" min="1" max="1"/>
    <col width="16" customWidth="1" style="89" min="2" max="2"/>
    <col width="16" customWidth="1" style="89" min="3" max="3"/>
    <col width="16" customWidth="1" style="89" min="4" max="4"/>
    <col width="16" customWidth="1" style="89" min="5" max="5"/>
    <col width="44" customWidth="1" style="89" min="6" max="6"/>
  </cols>
  <sheetData>
    <row r="1">
      <c r="A1" s="166" t="inlineStr">
        <is>
          <t>COST LEVERS, rebuilt per option so every package reconciles from the lines above it</t>
        </is>
      </c>
      <c r="L1" s="168" t="inlineStr">
        <is>
          <t>PURPOSE: the savings that are real but unbanked until their conditions land, and the packages they build to.</t>
        </is>
      </c>
    </row>
    <row r="3">
      <c r="A3" s="119" t="inlineStr">
        <is>
          <t>All values AUD millions. Pre contingency unless stated. Contingency 25 percent applied at package level, 15 percent at the award step.</t>
        </is>
      </c>
    </row>
    <row r="5">
      <c r="A5" s="175" t="inlineStr">
        <is>
          <t>Lever</t>
        </is>
      </c>
      <c r="B5" s="175" t="inlineStr">
        <is>
          <t>Option 1 (day shift)</t>
        </is>
      </c>
      <c r="C5" s="175" t="inlineStr">
        <is>
          <t>Option 2 (day and night)</t>
        </is>
      </c>
      <c r="D5" s="175" t="inlineStr">
        <is>
          <t>Basis / what must be true</t>
        </is>
      </c>
    </row>
    <row r="6">
      <c r="A6" s="149" t="inlineStr">
        <is>
          <t>Reported build, pre contingency</t>
        </is>
      </c>
      <c r="B6" s="149" t="n">
        <v>12.83</v>
      </c>
      <c r="C6" s="149" t="n">
        <v>11.37</v>
      </c>
      <c r="D6" s="149" t="inlineStr">
        <is>
          <t>Options sheet subtotals</t>
        </is>
      </c>
    </row>
    <row r="7">
      <c r="A7" s="149" t="inlineStr">
        <is>
          <t>L1  Marine base: moored spud flat top at $3,000 per day in place of the manned jack up at $10,000 per day; wet standby at half rate each</t>
        </is>
      </c>
      <c r="B7" s="149" t="n">
        <v>3.02</v>
      </c>
      <c r="C7" s="149" t="n">
        <v>3</v>
      </c>
      <c r="D7" s="149" t="inlineStr">
        <is>
          <t>Written spud quotation carrying the same services; boarding in weather risk stated</t>
        </is>
      </c>
    </row>
    <row r="8">
      <c r="A8" s="149" t="inlineStr">
        <is>
          <t>L2  Wet season: barge off hire and shore lay up in place of half rate standby, net of one written $120,000 remobilisation lump sum; fleet lay up care retained within existing lines</t>
        </is>
      </c>
      <c r="B8" s="149" t="n">
        <v>0.79</v>
      </c>
      <c r="C8" s="149" t="n">
        <v>0.79</v>
      </c>
      <c r="D8" s="149" t="inlineStr">
        <is>
          <t>Off hire and remobilisation terms agreed; season two availability secured</t>
        </is>
      </c>
    </row>
    <row r="9">
      <c r="A9" s="149" t="inlineStr">
        <is>
          <t>L3  Night rescue reclassification: dedicated night standby crew released (Option 2 only)</t>
        </is>
      </c>
      <c r="B9" s="149" t="n">
        <v>0</v>
      </c>
      <c r="C9" s="149" t="n">
        <v>1.09</v>
      </c>
      <c r="D9" s="149" t="inlineStr">
        <is>
          <t>Safety case accepts the lifted, tied and enclosed platform as a fixed workplace; regulator concurrence</t>
        </is>
      </c>
    </row>
    <row r="11">
      <c r="A11" s="167" t="inlineStr">
        <is>
          <t>PACKAGES, with 25 percent contingency unless stated</t>
        </is>
      </c>
    </row>
    <row r="12">
      <c r="A12" s="149" t="inlineStr">
        <is>
          <t>Reported base</t>
        </is>
      </c>
      <c r="B12" s="149" t="n">
        <v>16.04</v>
      </c>
      <c r="C12" s="149" t="n">
        <v>14.22</v>
      </c>
      <c r="D12" s="149" t="inlineStr">
        <is>
          <t>As issued</t>
        </is>
      </c>
    </row>
    <row r="13">
      <c r="A13" s="149" t="inlineStr">
        <is>
          <t>Credible: L1 plus L2</t>
        </is>
      </c>
      <c r="B13" s="149" t="n">
        <v>11.28</v>
      </c>
      <c r="C13" s="149" t="n">
        <v>9.470000000000001</v>
      </c>
      <c r="D13" s="149" t="inlineStr">
        <is>
          <t>(pre cont minus L1 minus L2) x 1.25</t>
        </is>
      </c>
    </row>
    <row r="14">
      <c r="A14" s="149" t="inlineStr">
        <is>
          <t>Stretch: plus L3 (Option 2 only)</t>
        </is>
      </c>
      <c r="B14" s="149" t="n">
        <v>11.28</v>
      </c>
      <c r="C14" s="149" t="n">
        <v>8.109999999999999</v>
      </c>
      <c r="D14" s="149" t="inlineStr">
        <is>
          <t>(pre cont minus L1 minus L2 minus L3) x 1.25</t>
        </is>
      </c>
    </row>
    <row r="15">
      <c r="A15" s="149" t="inlineStr">
        <is>
          <t>Stretch at 15 percent contingency on award</t>
        </is>
      </c>
      <c r="B15" s="149" t="n">
        <v>10.38</v>
      </c>
      <c r="C15" s="149" t="n">
        <v>7.46</v>
      </c>
      <c r="D15" s="149" t="inlineStr">
        <is>
          <t>Same base x 1.15, at controlled basis of estimate</t>
        </is>
      </c>
    </row>
    <row r="16">
      <c r="A16" s="149" t="inlineStr">
        <is>
          <t>Against the $9.24M priced allowance</t>
        </is>
      </c>
      <c r="B16" s="149" t="n">
        <v>2.04</v>
      </c>
      <c r="C16" s="149" t="n">
        <v>0.23</v>
      </c>
      <c r="D16" s="149" t="inlineStr">
        <is>
          <t>Credible package minus allowance; stretch Option 2 sits below it</t>
        </is>
      </c>
    </row>
    <row r="18">
      <c r="A18" s="119" t="inlineStr">
        <is>
          <t>Kit ownership lever retained as a threshold test: buy below about $320,000 per front against the hire plus standby breakeven; fabrication drawings exist.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
  <sheetViews>
    <sheetView workbookViewId="0">
      <pane ySplit="3" topLeftCell="A4" activePane="bottomLeft" state="frozen"/>
      <selection pane="bottomLeft" activeCell="A1" sqref="A1"/>
    </sheetView>
  </sheetViews>
  <sheetFormatPr baseColWidth="8" defaultRowHeight="15"/>
  <cols>
    <col width="58" customWidth="1" style="89" min="1" max="1"/>
    <col width="14" customWidth="1" style="89" min="2" max="2"/>
    <col width="14" customWidth="1" style="89" min="3" max="3"/>
    <col width="14" customWidth="1" style="89" min="4" max="4"/>
    <col width="16" customWidth="1" style="89" min="5" max="5"/>
    <col width="16" customWidth="1" style="89" min="6" max="6"/>
    <col width="50" customWidth="1" style="89" min="7" max="7"/>
  </cols>
  <sheetData>
    <row r="1">
      <c r="A1" s="166" t="inlineStr">
        <is>
          <t>MARINE BASE CONCEPTS, each carried with its own cycle and availability assumption</t>
        </is>
      </c>
      <c r="L1" s="168" t="inlineStr">
        <is>
          <t>PURPOSE: the base arrangements as carried in the report Section 9 table, with each concept’s own availability basis.</t>
        </is>
      </c>
    </row>
    <row r="2">
      <c r="A2" s="119" t="inlineStr">
        <is>
          <t>Access totals AUD millions with 25 percent contingency. Net is against the reported case for the same option. Wet season fleet lay up care is retained in every concept; the change register records this recharacterisation.</t>
        </is>
      </c>
    </row>
    <row r="3"/>
    <row r="4">
      <c r="A4" s="175" t="inlineStr">
        <is>
          <t>Concept</t>
        </is>
      </c>
      <c r="B4" s="175" t="inlineStr">
        <is>
          <t>Opt 1 total</t>
        </is>
      </c>
      <c r="C4" s="175" t="inlineStr">
        <is>
          <t>Opt 1 net</t>
        </is>
      </c>
      <c r="D4" s="175" t="inlineStr">
        <is>
          <t>Opt 2 total</t>
        </is>
      </c>
      <c r="E4" s="175" t="inlineStr">
        <is>
          <t>Opt 2 net</t>
        </is>
      </c>
      <c r="F4" s="175" t="inlineStr">
        <is>
          <t>Fleet / finish effect</t>
        </is>
      </c>
      <c r="G4" s="175" t="inlineStr">
        <is>
          <t>Cycle and availability basis; what must be true</t>
        </is>
      </c>
    </row>
    <row r="5">
      <c r="A5" s="149" t="inlineStr">
        <is>
          <t>C0  Reported case: manned jack up as static base, whole campaign</t>
        </is>
      </c>
      <c r="B5" s="149" t="n">
        <v>16.04</v>
      </c>
      <c r="C5" s="149" t="n">
        <v>0</v>
      </c>
      <c r="D5" s="149" t="n">
        <v>14.22</v>
      </c>
      <c r="E5" s="149" t="n">
        <v>0</v>
      </c>
      <c r="F5" s="149" t="inlineStr">
        <is>
          <t>8 / 5 fronts; finish 11 Oct 2028 (Option 1), 9 Oct 2028 (Option 2)</t>
        </is>
      </c>
      <c r="G5" s="149" t="inlineStr">
        <is>
          <t>Services afloat; fixed availability 0.90; ABH written reconciliation in progress</t>
        </is>
      </c>
    </row>
    <row r="6">
      <c r="A6" s="149" t="inlineStr">
        <is>
          <t>C1  Moored spud flat top, whole campaign, same services</t>
        </is>
      </c>
      <c r="B6" s="149" t="n">
        <v>12.26</v>
      </c>
      <c r="C6" s="149" t="n">
        <v>3.78</v>
      </c>
      <c r="D6" s="149" t="n">
        <v>10.46</v>
      </c>
      <c r="E6" s="149" t="n">
        <v>3.76</v>
      </c>
      <c r="F6" s="149" t="inlineStr">
        <is>
          <t>Fleet unchanged; finish unchanged</t>
        </is>
      </c>
      <c r="G6" s="149" t="inlineStr">
        <is>
          <t>Written spud quote at or near $3,000 per day; boarding in weather risk carried as sensitivity</t>
        </is>
      </c>
    </row>
    <row r="7">
      <c r="A7" s="149" t="inlineStr">
        <is>
          <t>C2  Zone phased: jack up through season one (Zone 3), deck serviced season two (Zones 2 and 1), fleet held</t>
        </is>
      </c>
      <c r="B7" s="149" t="n">
        <v>14.68</v>
      </c>
      <c r="C7" s="149" t="n">
        <v>1.36</v>
      </c>
      <c r="D7" s="149" t="n">
        <v>12.74</v>
      </c>
      <c r="E7" s="149" t="n">
        <v>1.48</v>
      </c>
      <c r="F7" s="149" t="inlineStr">
        <is>
          <t>Fleet held; finish about 23 Oct 2028, float 9 days</t>
        </is>
      </c>
      <c r="G7" s="149" t="inlineStr">
        <is>
          <t>Season two fixed availability derated 0.90 to 0.82 for shore servicing; one powered welfare set on deck; wet fleet care retained</t>
        </is>
      </c>
    </row>
    <row r="8">
      <c r="A8" s="149" t="inlineStr">
        <is>
          <t>C2+ Zone phased with one added season two front, date held</t>
        </is>
      </c>
      <c r="B8" s="149" t="n">
        <v>14.56</v>
      </c>
      <c r="C8" s="149" t="n">
        <v>1.48</v>
      </c>
      <c r="D8" s="149" t="n">
        <v>12.49</v>
      </c>
      <c r="E8" s="149" t="n">
        <v>1.73</v>
      </c>
      <c r="F8" s="149" t="inlineStr">
        <is>
          <t>One extra front season two; finish about 4 Oct 2028</t>
        </is>
      </c>
      <c r="G8" s="149" t="inlineStr">
        <is>
          <t>As C2 with the season two rate restored by fleet</t>
        </is>
      </c>
    </row>
    <row r="9">
      <c r="A9" s="149" t="inlineStr">
        <is>
          <t>C2a Zone phased on a spud flat top in season one</t>
        </is>
      </c>
      <c r="B9" s="149" t="n">
        <v>13.08</v>
      </c>
      <c r="C9" s="149" t="n">
        <v>2.96</v>
      </c>
      <c r="D9" s="149" t="n">
        <v>11.14</v>
      </c>
      <c r="E9" s="149" t="n">
        <v>3.08</v>
      </c>
      <c r="F9" s="149" t="inlineStr">
        <is>
          <t>As C2</t>
        </is>
      </c>
      <c r="G9" s="149" t="inlineStr">
        <is>
          <t>As C2 plus the written spud quotation</t>
        </is>
      </c>
    </row>
    <row r="10">
      <c r="A10" s="149" t="inlineStr">
        <is>
          <t>C3  Self sufficient fronts: powered set per front added for resilience</t>
        </is>
      </c>
      <c r="B10" s="149" t="n">
        <v>18.59</v>
      </c>
      <c r="C10" s="149" t="n">
        <v>-2.55</v>
      </c>
      <c r="D10" s="149" t="n">
        <v>15.8</v>
      </c>
      <c r="E10" s="149" t="n">
        <v>-1.58</v>
      </c>
      <c r="F10" s="149" t="inlineStr">
        <is>
          <t>Fleet unchanged</t>
        </is>
      </c>
      <c r="G10" s="149" t="inlineStr">
        <is>
          <t>Adds contract items 4.2.2, 4.2.4, 4.2.6 per front; pairs with C2 season two or C6</t>
        </is>
      </c>
    </row>
    <row r="11">
      <c r="A11" s="149" t="inlineStr">
        <is>
          <t>C4  Wharf deck service train</t>
        </is>
      </c>
      <c r="B11" s="149" t="inlineStr">
        <is>
          <t>POA</t>
        </is>
      </c>
      <c r="C11" s="149" t="inlineStr"/>
      <c r="D11" s="149" t="inlineStr">
        <is>
          <t>POA</t>
        </is>
      </c>
      <c r="E11" s="149" t="inlineStr"/>
      <c r="F11" s="149" t="inlineStr">
        <is>
          <t>Roadway movements return</t>
        </is>
      </c>
      <c r="G11" s="149" t="inlineStr">
        <is>
          <t>Welfare, stores and davit handling from the deck; priced on STL confirmation of laydown and power points</t>
        </is>
      </c>
    </row>
    <row r="12">
      <c r="A12" s="149" t="inlineStr">
        <is>
          <t>C5  Dry hire moored deck</t>
        </is>
      </c>
      <c r="B12" s="149" t="inlineStr">
        <is>
          <t>POA</t>
        </is>
      </c>
      <c r="C12" s="149" t="inlineStr"/>
      <c r="D12" s="149" t="inlineStr">
        <is>
          <t>POA</t>
        </is>
      </c>
      <c r="E12" s="149" t="inlineStr"/>
      <c r="F12" s="149" t="inlineStr">
        <is>
          <t>As C1</t>
        </is>
      </c>
      <c r="G12" s="149" t="inlineStr">
        <is>
          <t>Whether a bargemaster requirement attaches to a moored flat top; marine authority position at HP5</t>
        </is>
      </c>
    </row>
    <row r="13">
      <c r="A13" s="149" t="inlineStr">
        <is>
          <t>C6  No marine base at all</t>
        </is>
      </c>
      <c r="B13" s="149" t="n">
        <v>12.49</v>
      </c>
      <c r="C13" s="149" t="n">
        <v>3.55</v>
      </c>
      <c r="D13" s="149" t="n">
        <v>11.29</v>
      </c>
      <c r="E13" s="149" t="n">
        <v>2.93</v>
      </c>
      <c r="F13" s="149" t="inlineStr">
        <is>
          <t>9 / 6 fronts; fixed availability falls to 0.82</t>
        </is>
      </c>
      <c r="G13" s="149" t="inlineStr">
        <is>
          <t>Crew transit arithmetic: about 12 minutes each way plus crib runs, about 58 minutes per 10 hour shift, an 8 percent derate; services queue on the 8 tonne roadway</t>
        </is>
      </c>
    </row>
    <row r="14"/>
    <row r="15">
      <c r="A15" s="119" t="inlineStr">
        <is>
          <t>Counterweight: one work front costs about $0.27M per season in kit and crane share plus fabrication against the $320,000 buy or hire breakeven. A concept that costs the campaign two fronts returns most of its saving.</t>
        </is>
      </c>
    </row>
    <row r="16">
      <c r="A16" s="119" t="inlineStr">
        <is>
          <t>Pre adjustment working figures for the same concepts: C1 $3.76M, C2 $3.09M, C2a $4.68M. The nets in this sheet apply the season two availability derate and retained fleet care; both sets shown so the adjustment is visible.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2026-08-20T18:45:51Z</dcterms:created>
  <dcterms:modified xmlns:dcterms="http://purl.org/dc/terms/" xmlns:xsi="http://www.w3.org/2001/XMLSchema-instance" xsi:type="dcterms:W3CDTF">2026-08-27T03:56:14Z</dcterms:modified>
  <cp:revision>8</cp:revision>
</cp:coreProperties>
</file>