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3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01 Source Register" sheetId="2" state="visible" r:id="rId2"/>
    <sheet xmlns:r="http://schemas.openxmlformats.org/officeDocument/2006/relationships" name="02 Assumptions" sheetId="3" state="visible" r:id="rId3"/>
    <sheet xmlns:r="http://schemas.openxmlformats.org/officeDocument/2006/relationships" name="03 Current Baseline" sheetId="4" state="visible" r:id="rId4"/>
    <sheet xmlns:r="http://schemas.openxmlformats.org/officeDocument/2006/relationships" name="04 Proposed Cycle" sheetId="5" state="visible" r:id="rId5"/>
    <sheet xmlns:r="http://schemas.openxmlformats.org/officeDocument/2006/relationships" name="05 Fleet Productivity" sheetId="6" state="visible" r:id="rId6"/>
    <sheet xmlns:r="http://schemas.openxmlformats.org/officeDocument/2006/relationships" name="06 Resources" sheetId="7" state="visible" r:id="rId7"/>
    <sheet xmlns:r="http://schemas.openxmlformats.org/officeDocument/2006/relationships" name="07 Rate Inputs" sheetId="8" state="visible" r:id="rId8"/>
    <sheet xmlns:r="http://schemas.openxmlformats.org/officeDocument/2006/relationships" name="08 Cost Build-Up" sheetId="9" state="visible" r:id="rId9"/>
    <sheet xmlns:r="http://schemas.openxmlformats.org/officeDocument/2006/relationships" name="09 Programme" sheetId="10" state="visible" r:id="rId10"/>
    <sheet xmlns:r="http://schemas.openxmlformats.org/officeDocument/2006/relationships" name="10 MCA" sheetId="11" state="visible" r:id="rId11"/>
    <sheet xmlns:r="http://schemas.openxmlformats.org/officeDocument/2006/relationships" name="11 Proposal Compliance" sheetId="12" state="visible" r:id="rId12"/>
    <sheet xmlns:r="http://schemas.openxmlformats.org/officeDocument/2006/relationships" name="12 Risks &amp; RFIs" sheetId="13" state="visible" r:id="rId13"/>
    <sheet xmlns:r="http://schemas.openxmlformats.org/officeDocument/2006/relationships" name="13 Dashboard" sheetId="14" state="visible" r:id="rId14"/>
    <sheet xmlns:r="http://schemas.openxmlformats.org/officeDocument/2006/relationships" name="14 GGC Evidence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</font>
    <font>
      <name val="Arial"/>
      <b val="1"/>
      <sz val="18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7F1"/>
      </patternFill>
    </fill>
    <fill>
      <patternFill patternType="solid">
        <fgColor rgb="00E7E5E0"/>
      </patternFill>
    </fill>
    <fill>
      <patternFill patternType="solid">
        <fgColor rgb="00E87722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D7"/>
      </patternFill>
    </fill>
    <fill>
      <patternFill patternType="solid">
        <fgColor rgb="00FCE5C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6C6C6"/>
      </left>
      <right style="thin">
        <color rgb="00C6C6C6"/>
      </right>
      <top style="thin">
        <color rgb="00C6C6C6"/>
      </top>
      <bottom style="thin">
        <color rgb="00C6C6C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9" fontId="4" fillId="7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165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2" borderId="1" pivotButton="0" quotePrefix="0" xfId="0"/>
    <xf numFmtId="9" fontId="4" fillId="0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166" fontId="3" fillId="1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2" fontId="4" fillId="1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1" fontId="8" fillId="10" borderId="0" applyAlignment="1" pivotButton="0" quotePrefix="0" xfId="0">
      <alignment horizontal="center" vertical="center"/>
    </xf>
    <xf numFmtId="2" fontId="8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Completed bents/week by access sets</a:t>
            </a:r>
          </a:p>
        </rich>
      </tx>
    </title>
    <plotArea>
      <lineChart>
        <grouping val="standard"/>
        <ser>
          <idx val="0"/>
          <order val="0"/>
          <tx>
            <strRef>
              <f>'05 Fleet Productivity'!B11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Fleet Productivity'!$A$12:$A$22</f>
            </numRef>
          </cat>
          <val>
            <numRef>
              <f>'05 Fleet Productivity'!$B$12:$B$22</f>
            </numRef>
          </val>
        </ser>
        <ser>
          <idx val="1"/>
          <order val="1"/>
          <tx>
            <strRef>
              <f>'05 Fleet Productivity'!C11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Fleet Productivity'!$A$12:$A$22</f>
            </numRef>
          </cat>
          <val>
            <numRef>
              <f>'05 Fleet Productivity'!$C$12:$C$22</f>
            </numRef>
          </val>
        </ser>
        <ser>
          <idx val="2"/>
          <order val="2"/>
          <tx>
            <strRef>
              <f>'05 Fleet Productivity'!D11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Fleet Productivity'!$A$12:$A$22</f>
            </numRef>
          </cat>
          <val>
            <numRef>
              <f>'05 Fleet Productivity'!$D$12:$D$22</f>
            </numRef>
          </val>
        </ser>
        <ser>
          <idx val="3"/>
          <order val="3"/>
          <tx>
            <strRef>
              <f>'05 Fleet Productivity'!E11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Fleet Productivity'!$A$12:$A$22</f>
            </numRef>
          </cat>
          <val>
            <numRef>
              <f>'05 Fleet Productivity'!$E$12:$E$22</f>
            </numRef>
          </val>
        </ser>
        <ser>
          <idx val="4"/>
          <order val="4"/>
          <tx>
            <strRef>
              <f>'05 Fleet Productivity'!F11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Fleet Productivity'!$A$12:$A$22</f>
            </numRef>
          </cat>
          <val>
            <numRef>
              <f>'05 Fleet Productivity'!$F$12:$F$22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Complete access sets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Bents/week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Indicative cost build-up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 Cost Build-Up'!C4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Cost Build-Up'!$A$5:$A$11</f>
            </numRef>
          </cat>
          <val>
            <numRef>
              <f>'08 Cost Build-Up'!$C$5:$C$11</f>
            </numRef>
          </val>
        </ser>
        <ser>
          <idx val="1"/>
          <order val="1"/>
          <tx>
            <strRef>
              <f>'08 Cost Build-Up'!D4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Cost Build-Up'!$A$5:$A$11</f>
            </numRef>
          </cat>
          <val>
            <numRef>
              <f>'08 Cost Build-Up'!$D$5:$D$11</f>
            </numRef>
          </val>
        </ser>
        <ser>
          <idx val="2"/>
          <order val="2"/>
          <tx>
            <strRef>
              <f>'08 Cost Build-Up'!E4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Cost Build-Up'!$A$5:$A$11</f>
            </numRef>
          </cat>
          <val>
            <numRef>
              <f>'08 Cost Build-Up'!$E$5:$E$11</f>
            </numRef>
          </val>
        </ser>
        <ser>
          <idx val="3"/>
          <order val="3"/>
          <tx>
            <strRef>
              <f>'08 Cost Build-Up'!F4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Cost Build-Up'!$A$5:$A$11</f>
            </numRef>
          </cat>
          <val>
            <numRef>
              <f>'08 Cost Build-Up'!$F$5:$F$11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ex GST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STL Lucinda Jetty Access Options - Productivity and Cost Model</t>
        </is>
      </c>
    </row>
    <row r="2" ht="32" customHeight="1">
      <c r="A2" s="2" t="inlineStr">
        <is>
          <t>ED-018-2026-07 Rev A | Concept-stage working model | Commercial in confidence</t>
        </is>
      </c>
    </row>
    <row r="3"/>
    <row r="4">
      <c r="A4" s="3" t="inlineStr">
        <is>
          <t>Purpose</t>
        </is>
      </c>
      <c r="B4" s="4" t="inlineStr">
        <is>
          <t>Activity-based comparison of the current scaffold delivery method and the proposed marine-side modular platform concept. Sourced facts, client-provided data, engineering assumptions and supplier inputs are kept separate.</t>
        </is>
      </c>
    </row>
    <row r="5">
      <c r="A5" s="3" t="inlineStr">
        <is>
          <t>Status</t>
        </is>
      </c>
      <c r="B5" s="4" t="inlineStr">
        <is>
          <t>Draft for internal Endura/STL discussion. Not for construction, procurement or contractual reliance. Supplier rates and the current STL bent register are not commercially or technically closed.</t>
        </is>
      </c>
    </row>
    <row r="6">
      <c r="A6" s="3" t="inlineStr">
        <is>
          <t>Comparison discipline</t>
        </is>
      </c>
      <c r="B6" s="4" t="inlineStr">
        <is>
          <t>The 0.36/week current figure is a claimed safe-access stage equivalent per calendar week. Proposed rates are modelled QA-closed bents per production week. These unlike measures are not divided to claim an uplift.</t>
        </is>
      </c>
    </row>
    <row r="7">
      <c r="A7" s="3" t="inlineStr">
        <is>
          <t>Stress test</t>
        </is>
      </c>
      <c r="B7" s="4" t="inlineStr">
        <is>
          <t>227 bents / 60 nominal production weeks = 3.783 completed bents/week. The 227-bent quantity is a conservative whole-scope stress case pending the priority and closeout register.</t>
        </is>
      </c>
    </row>
    <row r="8">
      <c r="A8" s="3" t="inlineStr">
        <is>
          <t>Commercial basis</t>
        </is>
      </c>
      <c r="B8" s="4" t="inlineStr">
        <is>
          <t>Yellow rates are editable working allowances, not supplier quotations. A structured GGC monetary quotation was not identified in the supplied folder. Raw OCR evidence is preserved on the GGC Evidence sheet.</t>
        </is>
      </c>
    </row>
    <row r="9">
      <c r="A9" s="3" t="inlineStr">
        <is>
          <t>Colour convention</t>
        </is>
      </c>
      <c r="B9" s="4" t="inlineStr">
        <is>
          <t>Yellow = editable assumption or rate. Blue = source-derived or formula result. Red = unresolved/not modelled. Green = verified/accepted input.</t>
        </is>
      </c>
    </row>
    <row r="10">
      <c r="A10" s="3" t="inlineStr">
        <is>
          <t>Required use</t>
        </is>
      </c>
      <c r="B10" s="4" t="inlineStr">
        <is>
          <t>Update supplier and client inputs first. Then review Proposed Cycle, Fleet Productivity, Programme, Cost Build-Up and Dashboard. Do not issue a completion or cost commitment while red gates remain open.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0" customWidth="1" min="3" max="3"/>
    <col width="38" customWidth="1" min="4" max="4"/>
    <col width="22" customWidth="1" min="5" max="5"/>
    <col width="18" customWidth="1" min="6" max="6"/>
    <col width="50" customWidth="1" min="7" max="7"/>
    <col width="32" customWidth="1" min="8" max="8"/>
  </cols>
  <sheetData>
    <row r="1" ht="28" customHeight="1">
      <c r="A1" s="1" t="inlineStr">
        <is>
          <t>Source Register and Evidence Classification</t>
        </is>
      </c>
    </row>
    <row r="2" ht="32" customHeight="1">
      <c r="A2" s="2" t="inlineStr">
        <is>
          <t>Primary files from the organised Drive package and attached concept presentation.</t>
        </is>
      </c>
    </row>
    <row r="3"/>
    <row r="4" ht="30" customHeight="1">
      <c r="A4" s="5" t="inlineStr">
        <is>
          <t>ID</t>
        </is>
      </c>
      <c r="B4" s="5" t="inlineStr">
        <is>
          <t>Source / file</t>
        </is>
      </c>
      <c r="C4" s="5" t="inlineStr">
        <is>
          <t>Type</t>
        </is>
      </c>
      <c r="D4" s="5" t="inlineStr">
        <is>
          <t>Use</t>
        </is>
      </c>
      <c r="E4" s="5" t="inlineStr">
        <is>
          <t>Evidence class</t>
        </is>
      </c>
      <c r="F4" s="5" t="inlineStr">
        <is>
          <t>Review status</t>
        </is>
      </c>
      <c r="G4" s="5" t="inlineStr">
        <is>
          <t>Material limitation</t>
        </is>
      </c>
      <c r="H4" s="5" t="inlineStr">
        <is>
          <t>Location</t>
        </is>
      </c>
    </row>
    <row r="5">
      <c r="A5" s="4" t="inlineStr">
        <is>
          <t>S01</t>
        </is>
      </c>
      <c r="B5" s="4" t="inlineStr">
        <is>
          <t>ED-018-2026-01 STL Method Assessment Proposal Rev A</t>
        </is>
      </c>
      <c r="C5" s="4" t="inlineStr">
        <is>
          <t>Proposal</t>
        </is>
      </c>
      <c r="D5" s="4" t="inlineStr">
        <is>
          <t>Scope, promised deliverables and evaluation basis</t>
        </is>
      </c>
      <c r="E5" s="4" t="inlineStr">
        <is>
          <t>Project evidence</t>
        </is>
      </c>
      <c r="F5" s="4" t="inlineStr">
        <is>
          <t>Reviewed</t>
        </is>
      </c>
      <c r="G5" s="4" t="inlineStr">
        <is>
          <t>Concept assessment excludes detailed engineering</t>
        </is>
      </c>
      <c r="H5" s="4" t="inlineStr">
        <is>
          <t>Drive / Proposal</t>
        </is>
      </c>
    </row>
    <row r="6">
      <c r="A6" s="4" t="inlineStr">
        <is>
          <t>S02</t>
        </is>
      </c>
      <c r="B6" s="4" t="inlineStr">
        <is>
          <t>AAB Contract Scope &amp; Specification, pages 1-407</t>
        </is>
      </c>
      <c r="C6" s="4" t="inlineStr">
        <is>
          <t>Executed contract pack</t>
        </is>
      </c>
      <c r="D6" s="4" t="inlineStr">
        <is>
          <t>Scope, quantities, specifications, pricing and obligations</t>
        </is>
      </c>
      <c r="E6" s="4" t="inlineStr">
        <is>
          <t>Project evidence</t>
        </is>
      </c>
      <c r="F6" s="4" t="inlineStr">
        <is>
          <t>Reviewed for applicable sections</t>
        </is>
      </c>
      <c r="G6" s="4" t="inlineStr">
        <is>
          <t>Commercial trace must be rechecked before external issue</t>
        </is>
      </c>
      <c r="H6" s="4" t="inlineStr">
        <is>
          <t>Drive root</t>
        </is>
      </c>
    </row>
    <row r="7">
      <c r="A7" s="4" t="inlineStr">
        <is>
          <t>S03</t>
        </is>
      </c>
      <c r="B7" s="4" t="inlineStr">
        <is>
          <t>Schedule.pdf and June 2026 programme screenshots</t>
        </is>
      </c>
      <c r="C7" s="4" t="inlineStr">
        <is>
          <t>Programme</t>
        </is>
      </c>
      <c r="D7" s="4" t="inlineStr">
        <is>
          <t>Current planned sequence and durations</t>
        </is>
      </c>
      <c r="E7" s="4" t="inlineStr">
        <is>
          <t>Client-provided</t>
        </is>
      </c>
      <c r="F7" s="4" t="inlineStr">
        <is>
          <t>Reviewed</t>
        </is>
      </c>
      <c r="G7" s="4" t="inlineStr">
        <is>
          <t>Native MPP links, calendars, float and critical path not independently verified</t>
        </is>
      </c>
      <c r="H7" s="4" t="inlineStr">
        <is>
          <t>Drive root</t>
        </is>
      </c>
    </row>
    <row r="8">
      <c r="A8" s="4" t="inlineStr">
        <is>
          <t>S04</t>
        </is>
      </c>
      <c r="B8" s="4" t="inlineStr">
        <is>
          <t>AAB Claim Qty's.xlsx</t>
        </is>
      </c>
      <c r="C8" s="4" t="inlineStr">
        <is>
          <t>Claim extract</t>
        </is>
      </c>
      <c r="D8" s="4" t="inlineStr">
        <is>
          <t>March-July 2026 claimed stage quantities and weld actuals</t>
        </is>
      </c>
      <c r="E8" s="4" t="inlineStr">
        <is>
          <t>Client-provided</t>
        </is>
      </c>
      <c r="F8" s="4" t="inlineStr">
        <is>
          <t>Recomputed</t>
        </is>
      </c>
      <c r="G8" s="4" t="inlineStr">
        <is>
          <t>Parent progress workbook/certification lineage unavailable</t>
        </is>
      </c>
      <c r="H8" s="4" t="inlineStr">
        <is>
          <t>Drive / AAB current progress</t>
        </is>
      </c>
    </row>
    <row r="9">
      <c r="A9" s="4" t="inlineStr">
        <is>
          <t>S05</t>
        </is>
      </c>
      <c r="B9" s="4" t="inlineStr">
        <is>
          <t>SCMC-22020-REP-001 Rev 1</t>
        </is>
      </c>
      <c r="C9" s="4" t="inlineStr">
        <is>
          <t>Strategy report</t>
        </is>
      </c>
      <c r="D9" s="4" t="inlineStr">
        <is>
          <t>Asset condition, constraints and acceleration options</t>
        </is>
      </c>
      <c r="E9" s="4" t="inlineStr">
        <is>
          <t>Project evidence</t>
        </is>
      </c>
      <c r="F9" s="4" t="inlineStr">
        <is>
          <t>Reviewed</t>
        </is>
      </c>
      <c r="G9" s="4" t="inlineStr">
        <is>
          <t>Predates current execution data</t>
        </is>
      </c>
      <c r="H9" s="4" t="inlineStr">
        <is>
          <t>Drive / Summary report</t>
        </is>
      </c>
    </row>
    <row r="10">
      <c r="A10" s="4" t="inlineStr">
        <is>
          <t>S06</t>
        </is>
      </c>
      <c r="B10" s="4" t="inlineStr">
        <is>
          <t>July 2026 JPHR inspection reports</t>
        </is>
      </c>
      <c r="C10" s="4" t="inlineStr">
        <is>
          <t>Site reports</t>
        </is>
      </c>
      <c r="D10" s="4" t="inlineStr">
        <is>
          <t>Access, weather, workfront and quality observations</t>
        </is>
      </c>
      <c r="E10" s="4" t="inlineStr">
        <is>
          <t>Client-provided</t>
        </is>
      </c>
      <c r="F10" s="4" t="inlineStr">
        <is>
          <t>Reviewed</t>
        </is>
      </c>
      <c r="G10" s="4" t="inlineStr">
        <is>
          <t>Not a complete lost-time dataset</t>
        </is>
      </c>
      <c r="H10" s="4" t="inlineStr">
        <is>
          <t>Drive / Site reports</t>
        </is>
      </c>
    </row>
    <row r="11">
      <c r="A11" s="4" t="inlineStr">
        <is>
          <t>S07</t>
        </is>
      </c>
      <c r="B11" s="4" t="inlineStr">
        <is>
          <t>Drawing Package.pdf</t>
        </is>
      </c>
      <c r="C11" s="4" t="inlineStr">
        <is>
          <t>Drawings</t>
        </is>
      </c>
      <c r="D11" s="4" t="inlineStr">
        <is>
          <t>Bent families, geometry, levels and interfaces</t>
        </is>
      </c>
      <c r="E11" s="4" t="inlineStr">
        <is>
          <t>Project evidence</t>
        </is>
      </c>
      <c r="F11" s="4" t="inlineStr">
        <is>
          <t>Reviewed at concept level</t>
        </is>
      </c>
      <c r="G11" s="4" t="inlineStr">
        <is>
          <t>Temporary-works capacity remains design scope</t>
        </is>
      </c>
      <c r="H11" s="4" t="inlineStr">
        <is>
          <t>Drive / Drawing</t>
        </is>
      </c>
    </row>
    <row r="12">
      <c r="A12" s="4" t="inlineStr">
        <is>
          <t>S08</t>
        </is>
      </c>
      <c r="B12" s="4" t="inlineStr">
        <is>
          <t>Annual ship loading profile screenshot</t>
        </is>
      </c>
      <c r="C12" s="4" t="inlineStr">
        <is>
          <t>Operations</t>
        </is>
      </c>
      <c r="D12" s="4" t="inlineStr">
        <is>
          <t>Shipping frequency/interface</t>
        </is>
      </c>
      <c r="E12" s="4" t="inlineStr">
        <is>
          <t>Client-provided</t>
        </is>
      </c>
      <c r="F12" s="4" t="inlineStr">
        <is>
          <t>Reviewed</t>
        </is>
      </c>
      <c r="G12" s="4" t="inlineStr">
        <is>
          <t>Future call dates not supplied</t>
        </is>
      </c>
      <c r="H12" s="4" t="inlineStr">
        <is>
          <t>Drive / Ship profile</t>
        </is>
      </c>
    </row>
    <row r="13">
      <c r="A13" s="4" t="inlineStr">
        <is>
          <t>S09</t>
        </is>
      </c>
      <c r="B13" s="4" t="inlineStr">
        <is>
          <t>GGC platform drawings, photos, workboat, lift plan and methodology precedent</t>
        </is>
      </c>
      <c r="C13" s="4" t="inlineStr">
        <is>
          <t>Supplier precedent</t>
        </is>
      </c>
      <c r="D13" s="4" t="inlineStr">
        <is>
          <t>Platform geometry, flotation, winch/lift precedent and workboat capability</t>
        </is>
      </c>
      <c r="E13" s="4" t="inlineStr">
        <is>
          <t>Supplier evidence</t>
        </is>
      </c>
      <c r="F13" s="4" t="inlineStr">
        <is>
          <t>Reviewed</t>
        </is>
      </c>
      <c r="G13" s="4" t="inlineStr">
        <is>
          <t>Does not certify the proposed Lucinda configuration or price</t>
        </is>
      </c>
      <c r="H13" s="4" t="inlineStr">
        <is>
          <t>Drive / Floating Panel and GGC folders</t>
        </is>
      </c>
    </row>
    <row r="14">
      <c r="A14" s="4" t="inlineStr">
        <is>
          <t>S10</t>
        </is>
      </c>
      <c r="B14" s="4" t="inlineStr">
        <is>
          <t>Lucinda Marine Access Concept Discussion.pptx</t>
        </is>
      </c>
      <c r="C14" s="4" t="inlineStr">
        <is>
          <t>Concept reference</t>
        </is>
      </c>
      <c r="D14" s="4" t="inlineStr">
        <is>
          <t>Zones, spread, execution concept and key questions</t>
        </is>
      </c>
      <c r="E14" s="4" t="inlineStr">
        <is>
          <t>Engineering concept</t>
        </is>
      </c>
      <c r="F14" s="4" t="inlineStr">
        <is>
          <t>Reviewed</t>
        </is>
      </c>
      <c r="G14" s="4" t="inlineStr">
        <is>
          <t>Contains discussion assumptions, not approved design</t>
        </is>
      </c>
      <c r="H14" s="4" t="inlineStr">
        <is>
          <t>Attached</t>
        </is>
      </c>
    </row>
    <row r="15">
      <c r="A15" s="4" t="inlineStr">
        <is>
          <t>S11</t>
        </is>
      </c>
      <c r="B15" s="4" t="inlineStr">
        <is>
          <t>STL bent closeout / priority register</t>
        </is>
      </c>
      <c r="C15" s="4" t="inlineStr">
        <is>
          <t>Required client input</t>
        </is>
      </c>
      <c r="D15" s="4" t="inlineStr">
        <is>
          <t>Remaining scope, family mix, priority and preservation</t>
        </is>
      </c>
      <c r="E15" s="4" t="inlineStr">
        <is>
          <t>Open</t>
        </is>
      </c>
      <c r="F15" s="6" t="inlineStr">
        <is>
          <t>Not supplied</t>
        </is>
      </c>
      <c r="G15" s="4" t="inlineStr">
        <is>
          <t>Scope, programme and cost cannot be finalised</t>
        </is>
      </c>
      <c r="H15" s="4" t="inlineStr">
        <is>
          <t>RFI</t>
        </is>
      </c>
    </row>
    <row r="16">
      <c r="A16" s="4" t="inlineStr">
        <is>
          <t>S12</t>
        </is>
      </c>
      <c r="B16" s="4" t="inlineStr">
        <is>
          <t>Bathymetry, seabed and metocean</t>
        </is>
      </c>
      <c r="C16" s="4" t="inlineStr">
        <is>
          <t>Required client input</t>
        </is>
      </c>
      <c r="D16" s="4" t="inlineStr">
        <is>
          <t>JUB feasibility, moored transition and operability</t>
        </is>
      </c>
      <c r="E16" s="4" t="inlineStr">
        <is>
          <t>Open</t>
        </is>
      </c>
      <c r="F16" s="6" t="inlineStr">
        <is>
          <t>Not supplied</t>
        </is>
      </c>
      <c r="G16" s="4" t="inlineStr">
        <is>
          <t>Marine concept remains conditional</t>
        </is>
      </c>
      <c r="H16" s="4" t="inlineStr">
        <is>
          <t>RFI</t>
        </is>
      </c>
    </row>
    <row r="17">
      <c r="A17" s="4" t="inlineStr">
        <is>
          <t>S13</t>
        </is>
      </c>
      <c r="B17" s="4" t="inlineStr">
        <is>
          <t>GGC / JUB / containment commercial quotation</t>
        </is>
      </c>
      <c r="C17" s="4" t="inlineStr">
        <is>
          <t>Required supplier input</t>
        </is>
      </c>
      <c r="D17" s="4" t="inlineStr">
        <is>
          <t>Supplier rates and availability</t>
        </is>
      </c>
      <c r="E17" s="4" t="inlineStr">
        <is>
          <t>Open</t>
        </is>
      </c>
      <c r="F17" s="4" t="inlineStr">
        <is>
          <t>No structured monetary quote verified</t>
        </is>
      </c>
      <c r="G17" s="4" t="inlineStr">
        <is>
          <t>Cost model uses editable allowances</t>
        </is>
      </c>
      <c r="H17" s="4" t="inlineStr">
        <is>
          <t>RFI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15" customWidth="1" min="4" max="4"/>
    <col width="16" customWidth="1" min="5" max="5"/>
    <col width="58" customWidth="1" min="6" max="6"/>
    <col width="18" customWidth="1" min="7" max="7"/>
  </cols>
  <sheetData>
    <row r="1" ht="28" customHeight="1">
      <c r="A1" s="1" t="inlineStr">
        <is>
          <t>Model Assumptions and Control Inputs</t>
        </is>
      </c>
    </row>
    <row r="2" ht="32" customHeight="1">
      <c r="A2" s="2" t="inlineStr">
        <is>
          <t>Yellow cells are editable. None of the yellow inputs should be presented as verified facts.</t>
        </is>
      </c>
    </row>
    <row r="3"/>
    <row r="4" ht="30" customHeight="1">
      <c r="A4" s="5" t="inlineStr">
        <is>
          <t>ID</t>
        </is>
      </c>
      <c r="B4" s="5" t="inlineStr">
        <is>
          <t>Category</t>
        </is>
      </c>
      <c r="C4" s="5" t="inlineStr">
        <is>
          <t>Input</t>
        </is>
      </c>
      <c r="D4" s="5" t="inlineStr">
        <is>
          <t>Value</t>
        </is>
      </c>
      <c r="E4" s="5" t="inlineStr">
        <is>
          <t>Unit</t>
        </is>
      </c>
      <c r="F4" s="5" t="inlineStr">
        <is>
          <t>Basis</t>
        </is>
      </c>
      <c r="G4" s="5" t="inlineStr">
        <is>
          <t>Status</t>
        </is>
      </c>
    </row>
    <row r="5">
      <c r="A5" s="4" t="inlineStr">
        <is>
          <t>A001</t>
        </is>
      </c>
      <c r="B5" s="4" t="inlineStr">
        <is>
          <t>Scope</t>
        </is>
      </c>
      <c r="C5" s="4" t="inlineStr">
        <is>
          <t>Whole-scope stress-case bents</t>
        </is>
      </c>
      <c r="D5" s="7" t="n">
        <v>227</v>
      </c>
      <c r="E5" s="4" t="inlineStr">
        <is>
          <t>bents</t>
        </is>
      </c>
      <c r="F5" s="4" t="inlineStr">
        <is>
          <t>Endura stress case pending STL register</t>
        </is>
      </c>
      <c r="G5" s="4" t="inlineStr">
        <is>
          <t>Open</t>
        </is>
      </c>
    </row>
    <row r="6">
      <c r="A6" s="4" t="inlineStr">
        <is>
          <t>A002</t>
        </is>
      </c>
      <c r="B6" s="4" t="inlineStr">
        <is>
          <t>Programme</t>
        </is>
      </c>
      <c r="C6" s="4" t="inlineStr">
        <is>
          <t>Nominal production seasons</t>
        </is>
      </c>
      <c r="D6" s="7" t="n">
        <v>2</v>
      </c>
      <c r="E6" s="4" t="inlineStr">
        <is>
          <t>seasons</t>
        </is>
      </c>
      <c r="F6" s="4" t="inlineStr">
        <is>
          <t>2027 and 2028 dry seasons</t>
        </is>
      </c>
      <c r="G6" s="4" t="inlineStr">
        <is>
          <t>Assumption</t>
        </is>
      </c>
    </row>
    <row r="7">
      <c r="A7" s="4" t="inlineStr">
        <is>
          <t>A003</t>
        </is>
      </c>
      <c r="B7" s="4" t="inlineStr">
        <is>
          <t>Programme</t>
        </is>
      </c>
      <c r="C7" s="4" t="inlineStr">
        <is>
          <t>Nominal production weeks per season</t>
        </is>
      </c>
      <c r="D7" s="7" t="n">
        <v>30</v>
      </c>
      <c r="E7" s="4" t="inlineStr">
        <is>
          <t>weeks</t>
        </is>
      </c>
      <c r="F7" s="4" t="inlineStr">
        <is>
          <t>Working basis; dated calendar to replace</t>
        </is>
      </c>
      <c r="G7" s="4" t="inlineStr">
        <is>
          <t>Assumption</t>
        </is>
      </c>
    </row>
    <row r="8">
      <c r="A8" s="4" t="inlineStr">
        <is>
          <t>A004</t>
        </is>
      </c>
      <c r="B8" s="4" t="inlineStr">
        <is>
          <t>Calendar</t>
        </is>
      </c>
      <c r="C8" s="4" t="inlineStr">
        <is>
          <t>Working days per week</t>
        </is>
      </c>
      <c r="D8" s="7" t="n">
        <v>6</v>
      </c>
      <c r="E8" s="4" t="inlineStr">
        <is>
          <t>days</t>
        </is>
      </c>
      <c r="F8" s="4" t="inlineStr">
        <is>
          <t>Single-shift base model</t>
        </is>
      </c>
      <c r="G8" s="4" t="inlineStr">
        <is>
          <t>Assumption</t>
        </is>
      </c>
    </row>
    <row r="9">
      <c r="A9" s="4" t="inlineStr">
        <is>
          <t>A005</t>
        </is>
      </c>
      <c r="B9" s="4" t="inlineStr">
        <is>
          <t>Calendar</t>
        </is>
      </c>
      <c r="C9" s="4" t="inlineStr">
        <is>
          <t>Residual stochastic availability</t>
        </is>
      </c>
      <c r="D9" s="8" t="n">
        <v>0.85</v>
      </c>
      <c r="E9" s="4" t="inlineStr">
        <is>
          <t>factor</t>
        </is>
      </c>
      <c r="F9" s="4" t="inlineStr">
        <is>
          <t>Weather and breakdown only, after explicit blocks</t>
        </is>
      </c>
      <c r="G9" s="4" t="inlineStr">
        <is>
          <t>Assumption</t>
        </is>
      </c>
    </row>
    <row r="10">
      <c r="A10" s="4" t="inlineStr">
        <is>
          <t>A006</t>
        </is>
      </c>
      <c r="B10" s="4" t="inlineStr">
        <is>
          <t>Shift</t>
        </is>
      </c>
      <c r="C10" s="4" t="inlineStr">
        <is>
          <t>Hours per shift</t>
        </is>
      </c>
      <c r="D10" s="7" t="n">
        <v>10</v>
      </c>
      <c r="E10" s="4" t="inlineStr">
        <is>
          <t>hours</t>
        </is>
      </c>
      <c r="F10" s="4" t="inlineStr">
        <is>
          <t>Single-shift base</t>
        </is>
      </c>
      <c r="G10" s="4" t="inlineStr">
        <is>
          <t>Assumption</t>
        </is>
      </c>
    </row>
    <row r="11">
      <c r="A11" s="4" t="inlineStr">
        <is>
          <t>A007</t>
        </is>
      </c>
      <c r="B11" s="4" t="inlineStr">
        <is>
          <t>Production</t>
        </is>
      </c>
      <c r="C11" s="4" t="inlineStr">
        <is>
          <t>Weld quantity per typical bent equivalent</t>
        </is>
      </c>
      <c r="D11" s="7" t="n">
        <v>52.56</v>
      </c>
      <c r="E11" s="4" t="inlineStr">
        <is>
          <t>lm</t>
        </is>
      </c>
      <c r="F11" s="4" t="inlineStr">
        <is>
          <t>473.025 lm / 9 inspection equivalents</t>
        </is>
      </c>
      <c r="G11" s="4" t="inlineStr">
        <is>
          <t>Client data</t>
        </is>
      </c>
    </row>
    <row r="12">
      <c r="A12" s="4" t="inlineStr">
        <is>
          <t>A008</t>
        </is>
      </c>
      <c r="B12" s="4" t="inlineStr">
        <is>
          <t>Production</t>
        </is>
      </c>
      <c r="C12" s="4" t="inlineStr">
        <is>
          <t>Repair approval hold</t>
        </is>
      </c>
      <c r="D12" s="7" t="n">
        <v>3</v>
      </c>
      <c r="E12" s="4" t="inlineStr">
        <is>
          <t>shifts</t>
        </is>
      </c>
      <c r="F12" s="4" t="inlineStr">
        <is>
          <t>One bent-level submission assumption</t>
        </is>
      </c>
      <c r="G12" s="4" t="inlineStr">
        <is>
          <t>Assumption</t>
        </is>
      </c>
    </row>
    <row r="13">
      <c r="A13" s="4" t="inlineStr">
        <is>
          <t>A009</t>
        </is>
      </c>
      <c r="B13" s="4" t="inlineStr">
        <is>
          <t>Production</t>
        </is>
      </c>
      <c r="C13" s="4" t="inlineStr">
        <is>
          <t>Active coating work</t>
        </is>
      </c>
      <c r="D13" s="7" t="n">
        <v>1.5</v>
      </c>
      <c r="E13" s="4" t="inlineStr">
        <is>
          <t>shifts</t>
        </is>
      </c>
      <c r="F13" s="4" t="inlineStr">
        <is>
          <t>Excludes elapsed wash/dry/recoat holds</t>
        </is>
      </c>
      <c r="G13" s="4" t="inlineStr">
        <is>
          <t>Assumption</t>
        </is>
      </c>
    </row>
    <row r="14">
      <c r="A14" s="4" t="inlineStr">
        <is>
          <t>A010</t>
        </is>
      </c>
      <c r="B14" s="4" t="inlineStr">
        <is>
          <t>Production</t>
        </is>
      </c>
      <c r="C14" s="4" t="inlineStr">
        <is>
          <t>Platform relocation package</t>
        </is>
      </c>
      <c r="D14" s="7" t="n">
        <v>11</v>
      </c>
      <c r="E14" s="4" t="inlineStr">
        <is>
          <t>hours/bent</t>
        </is>
      </c>
      <c r="F14" s="4" t="inlineStr">
        <is>
          <t>Advance rigging share + lower/tow/hook/tower/services</t>
        </is>
      </c>
      <c r="G14" s="4" t="inlineStr">
        <is>
          <t>Assumption</t>
        </is>
      </c>
    </row>
    <row r="15">
      <c r="A15" s="4" t="inlineStr">
        <is>
          <t>A011</t>
        </is>
      </c>
      <c r="B15" s="4" t="inlineStr">
        <is>
          <t>Shipping</t>
        </is>
      </c>
      <c r="C15" s="4" t="inlineStr">
        <is>
          <t>Ship calls per year</t>
        </is>
      </c>
      <c r="D15" s="7" t="n">
        <v>12</v>
      </c>
      <c r="E15" s="4" t="inlineStr">
        <is>
          <t>calls/year</t>
        </is>
      </c>
      <c r="F15" s="4" t="inlineStr">
        <is>
          <t>Midpoint of 10-14 client range</t>
        </is>
      </c>
      <c r="G15" s="4" t="inlineStr">
        <is>
          <t>Client data</t>
        </is>
      </c>
    </row>
    <row r="16">
      <c r="A16" s="4" t="inlineStr">
        <is>
          <t>A012</t>
        </is>
      </c>
      <c r="B16" s="4" t="inlineStr">
        <is>
          <t>Shipping</t>
        </is>
      </c>
      <c r="C16" s="4" t="inlineStr">
        <is>
          <t>Make-safe allowance per call</t>
        </is>
      </c>
      <c r="D16" s="7" t="n">
        <v>2</v>
      </c>
      <c r="E16" s="4" t="inlineStr">
        <is>
          <t>days</t>
        </is>
      </c>
      <c r="F16" s="4" t="inlineStr">
        <is>
          <t>Contract/client basis</t>
        </is>
      </c>
      <c r="G16" s="4" t="inlineStr">
        <is>
          <t>Project fact</t>
        </is>
      </c>
    </row>
    <row r="17">
      <c r="A17" s="4" t="inlineStr">
        <is>
          <t>A013</t>
        </is>
      </c>
      <c r="B17" s="4" t="inlineStr">
        <is>
          <t>Scope</t>
        </is>
      </c>
      <c r="C17" s="4" t="inlineStr">
        <is>
          <t>Original firm bents</t>
        </is>
      </c>
      <c r="D17" s="7" t="n">
        <v>237</v>
      </c>
      <c r="E17" s="4" t="inlineStr">
        <is>
          <t>bents</t>
        </is>
      </c>
      <c r="F17" s="4" t="inlineStr">
        <is>
          <t>212 typical + 13 anchor + 10 passing variants + 2 specials</t>
        </is>
      </c>
      <c r="G17" s="4" t="inlineStr">
        <is>
          <t>Project fact</t>
        </is>
      </c>
    </row>
    <row r="18">
      <c r="A18" s="4" t="inlineStr">
        <is>
          <t>A014</t>
        </is>
      </c>
      <c r="B18" s="4" t="inlineStr">
        <is>
          <t>Scope</t>
        </is>
      </c>
      <c r="C18" s="4" t="inlineStr">
        <is>
          <t>Optional expansion-joint bents</t>
        </is>
      </c>
      <c r="D18" s="7" t="n">
        <v>20</v>
      </c>
      <c r="E18" s="4" t="inlineStr">
        <is>
          <t>bents</t>
        </is>
      </c>
      <c r="F18" s="4" t="inlineStr">
        <is>
          <t>Executed contract option</t>
        </is>
      </c>
      <c r="G18" s="4" t="inlineStr">
        <is>
          <t>Project fact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2" customWidth="1" min="4" max="4"/>
    <col width="46" customWidth="1" min="5" max="5"/>
    <col width="30" customWidth="1" min="6" max="6"/>
    <col width="18" customWidth="1" min="7" max="7"/>
    <col width="18" customWidth="1" min="8" max="8"/>
    <col width="50" customWidth="1" min="9" max="9"/>
  </cols>
  <sheetData>
    <row r="1" ht="28" customHeight="1">
      <c r="A1" s="1" t="inlineStr">
        <is>
          <t>Current Delivery Method - Plan and Demonstrated Stage Output</t>
        </is>
      </c>
    </row>
    <row r="2" ht="32" customHeight="1">
      <c r="A2" s="2" t="inlineStr">
        <is>
          <t>Planned completed-bent output and claimed payment-stage output are shown separately.</t>
        </is>
      </c>
    </row>
    <row r="3"/>
    <row r="4" ht="30" customHeight="1">
      <c r="A4" s="5" t="inlineStr">
        <is>
          <t>Metric</t>
        </is>
      </c>
      <c r="B4" s="5" t="inlineStr">
        <is>
          <t>Mar</t>
        </is>
      </c>
      <c r="C4" s="5" t="inlineStr">
        <is>
          <t>Apr</t>
        </is>
      </c>
      <c r="D4" s="5" t="inlineStr">
        <is>
          <t>May</t>
        </is>
      </c>
      <c r="E4" s="5" t="inlineStr">
        <is>
          <t>Jun</t>
        </is>
      </c>
      <c r="F4" s="5" t="inlineStr">
        <is>
          <t>Jul</t>
        </is>
      </c>
      <c r="G4" s="5" t="inlineStr">
        <is>
          <t>Total</t>
        </is>
      </c>
      <c r="H4" s="5" t="inlineStr">
        <is>
          <t>Normalised rate</t>
        </is>
      </c>
      <c r="I4" s="5" t="inlineStr">
        <is>
          <t>Evidence / limitation</t>
        </is>
      </c>
    </row>
    <row r="5">
      <c r="A5" s="4" t="inlineStr">
        <is>
          <t>Safe access equivalent</t>
        </is>
      </c>
      <c r="B5" s="9" t="n">
        <v>0.5</v>
      </c>
      <c r="C5" s="9" t="n">
        <v>2.5</v>
      </c>
      <c r="D5" s="9" t="n">
        <v>0</v>
      </c>
      <c r="E5" s="9" t="n">
        <v>3.2</v>
      </c>
      <c r="F5" s="9" t="n">
        <v>1.7</v>
      </c>
      <c r="G5" s="9" t="n">
        <v>7.9</v>
      </c>
      <c r="H5" s="9" t="n">
        <v>0.360730593607306</v>
      </c>
      <c r="I5" s="4" t="inlineStr">
        <is>
          <t>Claimed payment-stage quantity; not a QA-closed bent</t>
        </is>
      </c>
    </row>
    <row r="6">
      <c r="A6" s="4" t="inlineStr">
        <is>
          <t>Inspection / UT equivalent</t>
        </is>
      </c>
      <c r="B6" s="9" t="n">
        <v>0</v>
      </c>
      <c r="C6" s="9" t="n">
        <v>5</v>
      </c>
      <c r="D6" s="9" t="n">
        <v>0</v>
      </c>
      <c r="E6" s="9" t="n">
        <v>2</v>
      </c>
      <c r="F6" s="9" t="n">
        <v>2</v>
      </c>
      <c r="G6" s="9" t="n">
        <v>9</v>
      </c>
      <c r="H6" s="9" t="n">
        <v>0.4109589041095891</v>
      </c>
      <c r="I6" s="4" t="inlineStr">
        <is>
          <t>Claimed payment-stage quantity; not a QA-closed bent</t>
        </is>
      </c>
    </row>
    <row r="7">
      <c r="A7" s="4" t="inlineStr">
        <is>
          <t>Blast / coating equivalent</t>
        </is>
      </c>
      <c r="B7" s="9" t="n">
        <v>0</v>
      </c>
      <c r="C7" s="9" t="n">
        <v>0</v>
      </c>
      <c r="D7" s="9" t="n">
        <v>0</v>
      </c>
      <c r="E7" s="9" t="n">
        <v>3.5</v>
      </c>
      <c r="F7" s="9" t="n">
        <v>3.5</v>
      </c>
      <c r="G7" s="9" t="n">
        <v>7</v>
      </c>
      <c r="H7" s="9" t="n">
        <v>0.3196347031963471</v>
      </c>
      <c r="I7" s="4" t="inlineStr">
        <is>
          <t>Claimed payment-stage quantity; not a QA-closed bent</t>
        </is>
      </c>
    </row>
    <row r="8">
      <c r="A8" s="4" t="inlineStr">
        <is>
          <t>Denso jacket pile equivalent</t>
        </is>
      </c>
      <c r="B8" s="9" t="n">
        <v>1.32</v>
      </c>
      <c r="C8" s="9" t="n">
        <v>3.34</v>
      </c>
      <c r="D8" s="9" t="n">
        <v>0</v>
      </c>
      <c r="E8" s="9" t="n">
        <v>0</v>
      </c>
      <c r="F8" s="9" t="n">
        <v>7.34</v>
      </c>
      <c r="G8" s="9" t="n">
        <v>12</v>
      </c>
      <c r="H8" s="9" t="n">
        <v>0.5479452054794521</v>
      </c>
      <c r="I8" s="4" t="inlineStr">
        <is>
          <t>Claimed payment-stage quantity; not a QA-closed bent</t>
        </is>
      </c>
    </row>
    <row r="9">
      <c r="A9" s="4" t="inlineStr">
        <is>
          <t>Keeper angles</t>
        </is>
      </c>
      <c r="B9" s="9" t="n">
        <v>0</v>
      </c>
      <c r="C9" s="9" t="n">
        <v>0</v>
      </c>
      <c r="D9" s="9" t="n">
        <v>0</v>
      </c>
      <c r="E9" s="9" t="n">
        <v>10</v>
      </c>
      <c r="F9" s="9" t="n">
        <v>6</v>
      </c>
      <c r="G9" s="9" t="n">
        <v>16</v>
      </c>
      <c r="H9" s="9" t="n">
        <v>0.7305936073059361</v>
      </c>
      <c r="I9" s="4" t="inlineStr">
        <is>
          <t>Claimed payment-stage quantity; not a QA-closed bent</t>
        </is>
      </c>
    </row>
    <row r="10">
      <c r="A10" s="4" t="inlineStr">
        <is>
          <t>8 mm weld prep / weld, lm</t>
        </is>
      </c>
      <c r="B10" s="9" t="n">
        <v>0</v>
      </c>
      <c r="C10" s="9" t="n">
        <v>0</v>
      </c>
      <c r="D10" s="9" t="n">
        <v>0</v>
      </c>
      <c r="E10" s="9" t="n">
        <v>89.5</v>
      </c>
      <c r="F10" s="9" t="n">
        <v>94.36</v>
      </c>
      <c r="G10" s="9" t="n">
        <v>183.86</v>
      </c>
      <c r="H10" s="9" t="n">
        <v>8.395433789954339</v>
      </c>
      <c r="I10" s="4" t="inlineStr">
        <is>
          <t>Claimed payment-stage quantity; not a QA-closed bent</t>
        </is>
      </c>
    </row>
    <row r="11">
      <c r="A11" s="4" t="inlineStr">
        <is>
          <t>10 mm weld prep / weld, lm</t>
        </is>
      </c>
      <c r="B11" s="9" t="n">
        <v>0</v>
      </c>
      <c r="C11" s="9" t="n">
        <v>0</v>
      </c>
      <c r="D11" s="9" t="n">
        <v>0</v>
      </c>
      <c r="E11" s="9" t="n">
        <v>112.3</v>
      </c>
      <c r="F11" s="9" t="n">
        <v>176.865</v>
      </c>
      <c r="G11" s="9" t="n">
        <v>289.165</v>
      </c>
      <c r="H11" s="9" t="n">
        <v>13.20388127853881</v>
      </c>
      <c r="I11" s="4" t="inlineStr">
        <is>
          <t>Claimed payment-stage quantity; not a QA-closed bent</t>
        </is>
      </c>
    </row>
    <row r="12"/>
    <row r="13" ht="22" customHeight="1">
      <c r="A13" s="10" t="inlineStr">
        <is>
          <t>Programme summary</t>
        </is>
      </c>
    </row>
    <row r="14" ht="30" customHeight="1">
      <c r="A14" s="5" t="inlineStr">
        <is>
          <t>Metric</t>
        </is>
      </c>
      <c r="B14" s="5" t="inlineStr">
        <is>
          <t>Value</t>
        </is>
      </c>
      <c r="C14" s="5" t="inlineStr">
        <is>
          <t>Unit</t>
        </is>
      </c>
      <c r="D14" s="5" t="inlineStr">
        <is>
          <t>Basis</t>
        </is>
      </c>
      <c r="E14" s="5" t="inlineStr">
        <is>
          <t>Assurance note</t>
        </is>
      </c>
    </row>
    <row r="15">
      <c r="A15" s="4" t="inlineStr">
        <is>
          <t>Programme bents</t>
        </is>
      </c>
      <c r="B15" s="4" t="n">
        <v>257</v>
      </c>
      <c r="C15" s="4" t="inlineStr">
        <is>
          <t>bents</t>
        </is>
      </c>
      <c r="D15" s="4" t="inlineStr">
        <is>
          <t>Validated extraction matching supplied screenshots</t>
        </is>
      </c>
      <c r="E15" s="4" t="inlineStr">
        <is>
          <t>Includes six finishes in 2025 and 251 in 2026-2028</t>
        </is>
      </c>
    </row>
    <row r="16">
      <c r="A16" s="4" t="inlineStr">
        <is>
          <t>First programmed start</t>
        </is>
      </c>
      <c r="B16" s="11" t="n">
        <v>45964</v>
      </c>
      <c r="C16" s="4" t="inlineStr">
        <is>
          <t>date</t>
        </is>
      </c>
      <c r="D16" s="4" t="inlineStr">
        <is>
          <t>Schedule extraction</t>
        </is>
      </c>
      <c r="E16" s="4" t="inlineStr">
        <is>
          <t>Native MPP logic not independently verified</t>
        </is>
      </c>
    </row>
    <row r="17">
      <c r="A17" s="4" t="inlineStr">
        <is>
          <t>Last programmed finish</t>
        </is>
      </c>
      <c r="B17" s="11" t="n">
        <v>47089</v>
      </c>
      <c r="C17" s="4" t="inlineStr">
        <is>
          <t>date</t>
        </is>
      </c>
      <c r="D17" s="4" t="inlineStr">
        <is>
          <t>Schedule extraction</t>
        </is>
      </c>
      <c r="E17" s="4" t="inlineStr">
        <is>
          <t>Subject to calendar/shutdown logic</t>
        </is>
      </c>
    </row>
    <row r="18">
      <c r="A18" s="4" t="inlineStr">
        <is>
          <t>Elapsed calendar duration</t>
        </is>
      </c>
      <c r="B18" s="4" t="n">
        <v>161</v>
      </c>
      <c r="C18" s="4" t="inlineStr">
        <is>
          <t>weeks</t>
        </is>
      </c>
      <c r="D18" s="4" t="inlineStr">
        <is>
          <t>Recomputed</t>
        </is>
      </c>
      <c r="E18" s="4" t="inlineStr">
        <is>
          <t>Approximate</t>
        </is>
      </c>
    </row>
    <row r="19">
      <c r="A19" s="4" t="inlineStr">
        <is>
          <t>Planned shutdown periods</t>
        </is>
      </c>
      <c r="B19" s="4" t="n">
        <v>56.6</v>
      </c>
      <c r="C19" s="4" t="inlineStr">
        <is>
          <t>weeks</t>
        </is>
      </c>
      <c r="D19" s="4" t="inlineStr">
        <is>
          <t>Three major gaps</t>
        </is>
      </c>
      <c r="E19" s="4" t="inlineStr">
        <is>
          <t>135, 125 and 136 days</t>
        </is>
      </c>
    </row>
    <row r="20">
      <c r="A20" s="4" t="inlineStr">
        <is>
          <t>Net programme production weeks</t>
        </is>
      </c>
      <c r="B20" s="4" t="n">
        <v>104.4</v>
      </c>
      <c r="C20" s="4" t="inlineStr">
        <is>
          <t>weeks</t>
        </is>
      </c>
      <c r="D20" s="4" t="inlineStr">
        <is>
          <t>Elapsed less major shutdowns</t>
        </is>
      </c>
      <c r="E20" s="4" t="inlineStr">
        <is>
          <t>Calendar basis</t>
        </is>
      </c>
    </row>
    <row r="21">
      <c r="A21" s="4" t="inlineStr">
        <is>
          <t>Planned in-season completion rate</t>
        </is>
      </c>
      <c r="B21" s="4" t="n">
        <v>2.461685823754789</v>
      </c>
      <c r="C21" s="4" t="inlineStr">
        <is>
          <t>bents/week</t>
        </is>
      </c>
      <c r="D21" s="4" t="inlineStr">
        <is>
          <t>Programme-level calculation</t>
        </is>
      </c>
      <c r="E21" s="4" t="inlineStr">
        <is>
          <t>Approximately 2.46 completed bents/week</t>
        </is>
      </c>
    </row>
    <row r="22">
      <c r="A22" s="4" t="inlineStr">
        <is>
          <t>Typical programmed cycle</t>
        </is>
      </c>
      <c r="B22" s="4" t="n">
        <v>14.5</v>
      </c>
      <c r="C22" s="4" t="inlineStr">
        <is>
          <t>days</t>
        </is>
      </c>
      <c r="D22" s="4" t="inlineStr">
        <is>
          <t>Common/median typical duration</t>
        </is>
      </c>
      <c r="E22" s="4" t="inlineStr">
        <is>
          <t>Typical rows generally 14-15 days</t>
        </is>
      </c>
    </row>
    <row r="23">
      <c r="A23" s="4" t="inlineStr">
        <is>
          <t>Mean programmed duration</t>
        </is>
      </c>
      <c r="B23" s="4" t="n">
        <v>16.7</v>
      </c>
      <c r="C23" s="4" t="inlineStr">
        <is>
          <t>days</t>
        </is>
      </c>
      <c r="D23" s="4" t="inlineStr">
        <is>
          <t>All families</t>
        </is>
      </c>
      <c r="E23" s="4" t="inlineStr">
        <is>
          <t>Includes special/EJ rows</t>
        </is>
      </c>
    </row>
    <row r="24">
      <c r="A24" s="4" t="inlineStr">
        <is>
          <t>Peak concurrent WIP</t>
        </is>
      </c>
      <c r="B24" s="4" t="n">
        <v>9</v>
      </c>
      <c r="C24" s="4" t="inlineStr">
        <is>
          <t>bents</t>
        </is>
      </c>
      <c r="D24" s="4" t="inlineStr">
        <is>
          <t>Programme extraction</t>
        </is>
      </c>
      <c r="E24" s="4" t="inlineStr">
        <is>
          <t>Not equal to nine scaffold sets</t>
        </is>
      </c>
    </row>
    <row r="25">
      <c r="A25" s="4" t="inlineStr">
        <is>
          <t>Physical scaffold sets observed</t>
        </is>
      </c>
      <c r="B25" s="4" t="n">
        <v>4</v>
      </c>
      <c r="C25" s="4" t="inlineStr">
        <is>
          <t>sets</t>
        </is>
      </c>
      <c r="D25" s="4" t="inlineStr">
        <is>
          <t>Execution records</t>
        </is>
      </c>
      <c r="E25" s="4" t="inlineStr">
        <is>
          <t>Four sets did not mean four continuously usable fronts</t>
        </is>
      </c>
    </row>
    <row r="26">
      <c r="A26" s="4" t="inlineStr">
        <is>
          <t>Claimed safe-access stage rate</t>
        </is>
      </c>
      <c r="B26" s="4" t="n">
        <v>0.360730593607306</v>
      </c>
      <c r="C26" s="4" t="inlineStr">
        <is>
          <t>equiv/week</t>
        </is>
      </c>
      <c r="D26" s="4" t="inlineStr">
        <is>
          <t>Claim extract</t>
        </is>
      </c>
      <c r="E26" s="4" t="inlineStr">
        <is>
          <t>Not QA-closed bents</t>
        </is>
      </c>
    </row>
    <row r="27"/>
    <row r="28" ht="22" customHeight="1">
      <c r="A28" s="10" t="inlineStr">
        <is>
          <t>Typical current cycle</t>
        </is>
      </c>
    </row>
    <row r="29" ht="30" customHeight="1">
      <c r="A29" s="5" t="inlineStr">
        <is>
          <t>Stage</t>
        </is>
      </c>
      <c r="B29" s="5" t="inlineStr">
        <is>
          <t>Duration</t>
        </is>
      </c>
      <c r="C29" s="5" t="inlineStr">
        <is>
          <t>Unit</t>
        </is>
      </c>
      <c r="D29" s="5" t="inlineStr">
        <is>
          <t>Character</t>
        </is>
      </c>
      <c r="E29" s="5" t="inlineStr">
        <is>
          <t>Constraint</t>
        </is>
      </c>
      <c r="F29" s="5" t="inlineStr">
        <is>
          <t>Source</t>
        </is>
      </c>
      <c r="G29" s="5" t="inlineStr">
        <is>
          <t>Confidence</t>
        </is>
      </c>
    </row>
    <row r="30">
      <c r="A30" s="4" t="inlineStr">
        <is>
          <t>Scaffold erection and encapsulation</t>
        </is>
      </c>
      <c r="B30" s="4" t="n">
        <v>2</v>
      </c>
      <c r="C30" s="4" t="inlineStr">
        <is>
          <t>days</t>
        </is>
      </c>
      <c r="D30" s="4" t="inlineStr">
        <is>
          <t>Access handling</t>
        </is>
      </c>
      <c r="E30" s="4" t="inlineStr">
        <is>
          <t>Roadway, weather, volumetric hire</t>
        </is>
      </c>
      <c r="F30" s="4" t="inlineStr">
        <is>
          <t>Schedule / contract</t>
        </is>
      </c>
      <c r="G30" s="4" t="inlineStr">
        <is>
          <t>Medium</t>
        </is>
      </c>
    </row>
    <row r="31">
      <c r="A31" s="4" t="inlineStr">
        <is>
          <t>Wash, inspection and UT</t>
        </is>
      </c>
      <c r="B31" s="4" t="n">
        <v>1</v>
      </c>
      <c r="C31" s="4" t="inlineStr">
        <is>
          <t>days</t>
        </is>
      </c>
      <c r="D31" s="4" t="inlineStr">
        <is>
          <t>Productive</t>
        </is>
      </c>
      <c r="E31" s="4" t="inlineStr">
        <is>
          <t>Lower access availability</t>
        </is>
      </c>
      <c r="F31" s="4" t="inlineStr">
        <is>
          <t>Schedule</t>
        </is>
      </c>
      <c r="G31" s="4" t="inlineStr">
        <is>
          <t>Medium</t>
        </is>
      </c>
    </row>
    <row r="32">
      <c r="A32" s="4" t="inlineStr">
        <is>
          <t>Repair approval hold</t>
        </is>
      </c>
      <c r="B32" s="4" t="n">
        <v>3</v>
      </c>
      <c r="C32" s="4" t="inlineStr">
        <is>
          <t>days</t>
        </is>
      </c>
      <c r="D32" s="4" t="inlineStr">
        <is>
          <t>Waiting</t>
        </is>
      </c>
      <c r="E32" s="4" t="inlineStr">
        <is>
          <t>Access remains occupied</t>
        </is>
      </c>
      <c r="F32" s="4" t="inlineStr">
        <is>
          <t>Schedule</t>
        </is>
      </c>
      <c r="G32" s="4" t="inlineStr">
        <is>
          <t>Medium</t>
        </is>
      </c>
    </row>
    <row r="33">
      <c r="A33" s="4" t="inlineStr">
        <is>
          <t>Weld repairs</t>
        </is>
      </c>
      <c r="B33" s="4" t="n">
        <v>2</v>
      </c>
      <c r="C33" s="4" t="inlineStr">
        <is>
          <t>days</t>
        </is>
      </c>
      <c r="D33" s="4" t="inlineStr">
        <is>
          <t>Productive, variable</t>
        </is>
      </c>
      <c r="E33" s="4" t="inlineStr">
        <is>
          <t>Repair growth and workfront availability</t>
        </is>
      </c>
      <c r="F33" s="4" t="inlineStr">
        <is>
          <t>Schedule / claims</t>
        </is>
      </c>
      <c r="G33" s="4" t="inlineStr">
        <is>
          <t>Low-Medium</t>
        </is>
      </c>
    </row>
    <row r="34">
      <c r="A34" s="4" t="inlineStr">
        <is>
          <t>Blast and two coats</t>
        </is>
      </c>
      <c r="B34" s="4" t="n">
        <v>3</v>
      </c>
      <c r="C34" s="4" t="inlineStr">
        <is>
          <t>days</t>
        </is>
      </c>
      <c r="D34" s="4" t="inlineStr">
        <is>
          <t>Productive + elapsed</t>
        </is>
      </c>
      <c r="E34" s="4" t="inlineStr">
        <is>
          <t>Containment, recoat, weather</t>
        </is>
      </c>
      <c r="F34" s="4" t="inlineStr">
        <is>
          <t>Schedule / G01</t>
        </is>
      </c>
      <c r="G34" s="4" t="inlineStr">
        <is>
          <t>Medium</t>
        </is>
      </c>
    </row>
    <row r="35">
      <c r="A35" s="4" t="inlineStr">
        <is>
          <t>Pile jackets</t>
        </is>
      </c>
      <c r="B35" s="4" t="n">
        <v>0</v>
      </c>
      <c r="C35" s="4" t="inlineStr">
        <is>
          <t>days</t>
        </is>
      </c>
      <c r="D35" s="4" t="inlineStr">
        <is>
          <t>Tide-limited</t>
        </is>
      </c>
      <c r="E35" s="4" t="inlineStr">
        <is>
          <t>Scope varies by bent</t>
        </is>
      </c>
      <c r="F35" s="4" t="inlineStr">
        <is>
          <t>Schedule</t>
        </is>
      </c>
      <c r="G35" s="4" t="inlineStr">
        <is>
          <t>Low</t>
        </is>
      </c>
    </row>
    <row r="36">
      <c r="A36" s="4" t="inlineStr">
        <is>
          <t>Scaffold dismantle / relocation</t>
        </is>
      </c>
      <c r="B36" s="4" t="n">
        <v>1</v>
      </c>
      <c r="C36" s="4" t="inlineStr">
        <is>
          <t>days</t>
        </is>
      </c>
      <c r="D36" s="4" t="inlineStr">
        <is>
          <t>Access handling</t>
        </is>
      </c>
      <c r="E36" s="4" t="inlineStr">
        <is>
          <t>Roadway / weather</t>
        </is>
      </c>
      <c r="F36" s="4" t="inlineStr">
        <is>
          <t>Schedule</t>
        </is>
      </c>
      <c r="G36" s="4" t="inlineStr">
        <is>
          <t>Medium</t>
        </is>
      </c>
    </row>
    <row r="37">
      <c r="A37" s="4" t="inlineStr">
        <is>
          <t>Sundays / extra allowance</t>
        </is>
      </c>
      <c r="B37" s="4" t="n">
        <v>2.5</v>
      </c>
      <c r="C37" s="4" t="inlineStr">
        <is>
          <t>days</t>
        </is>
      </c>
      <c r="D37" s="4" t="inlineStr">
        <is>
          <t>Calendar</t>
        </is>
      </c>
      <c r="E37" s="4" t="inlineStr">
        <is>
          <t>Programme conventions vary</t>
        </is>
      </c>
      <c r="F37" s="4" t="inlineStr">
        <is>
          <t>Endura reconciliation</t>
        </is>
      </c>
      <c r="G37" s="4" t="inlineStr">
        <is>
          <t>Low-Medium</t>
        </is>
      </c>
    </row>
  </sheetData>
  <mergeCells count="4">
    <mergeCell ref="A2:L2"/>
    <mergeCell ref="A13:I13"/>
    <mergeCell ref="A1:L1"/>
    <mergeCell ref="A28:G28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1" customWidth="1" min="2" max="2"/>
    <col width="22" customWidth="1" min="3" max="3"/>
    <col width="13" customWidth="1" min="4" max="4"/>
    <col width="13" customWidth="1" min="5" max="5"/>
    <col width="14" customWidth="1" min="6" max="6"/>
    <col width="31" customWidth="1" min="7" max="7"/>
    <col width="18" customWidth="1" min="8" max="8"/>
    <col width="50" customWidth="1" min="9" max="9"/>
    <col width="43" customWidth="1" min="10" max="10"/>
    <col width="24" customWidth="1" min="11" max="11"/>
  </cols>
  <sheetData>
    <row r="1" ht="28" customHeight="1">
      <c r="A1" s="1" t="inlineStr">
        <is>
          <t>Proposed Marine Access Cycle - Activity Build-up</t>
        </is>
      </c>
    </row>
    <row r="2" ht="32" customHeight="1">
      <c r="A2" s="2" t="inlineStr">
        <is>
          <t>Active work, elapsed holds, access-set occupancy and unmodelled work are separated.</t>
        </is>
      </c>
    </row>
    <row r="3"/>
    <row r="4" ht="30" customHeight="1">
      <c r="A4" s="5" t="inlineStr">
        <is>
          <t>Seq</t>
        </is>
      </c>
      <c r="B4" s="5" t="inlineStr">
        <is>
          <t>Activity</t>
        </is>
      </c>
      <c r="C4" s="5" t="inlineStr">
        <is>
          <t>Zone</t>
        </is>
      </c>
      <c r="D4" s="5" t="inlineStr">
        <is>
          <t>Active shifts</t>
        </is>
      </c>
      <c r="E4" s="5" t="inlineStr">
        <is>
          <t>Elapsed hold</t>
        </is>
      </c>
      <c r="F4" s="5" t="inlineStr">
        <is>
          <t>Set occupancy</t>
        </is>
      </c>
      <c r="G4" s="5" t="inlineStr">
        <is>
          <t>Resource basis</t>
        </is>
      </c>
      <c r="H4" s="5" t="inlineStr">
        <is>
          <t>Status</t>
        </is>
      </c>
      <c r="I4" s="5" t="inlineStr">
        <is>
          <t>Evidence / assumption</t>
        </is>
      </c>
      <c r="J4" s="5" t="inlineStr">
        <is>
          <t>Acceptance basis</t>
        </is>
      </c>
      <c r="K4" s="5" t="inlineStr">
        <is>
          <t>Cost driver</t>
        </is>
      </c>
    </row>
    <row r="5">
      <c r="A5" s="4" t="n">
        <v>1</v>
      </c>
      <c r="B5" s="4" t="inlineStr">
        <is>
          <t>Advance rigging package share</t>
        </is>
      </c>
      <c r="C5" s="4" t="inlineStr">
        <is>
          <t>Next bent</t>
        </is>
      </c>
      <c r="D5" s="4" t="n">
        <v>0.4</v>
      </c>
      <c r="E5" s="4" t="n">
        <v>0</v>
      </c>
      <c r="F5" s="4" t="n">
        <v>0.4</v>
      </c>
      <c r="G5" s="4" t="inlineStr">
        <is>
          <t>Advance rigging crew</t>
        </is>
      </c>
      <c r="H5" s="12" t="inlineStr">
        <is>
          <t>Modelled</t>
        </is>
      </c>
      <c r="I5" s="4" t="inlineStr">
        <is>
          <t>4 h share/bent</t>
        </is>
      </c>
      <c r="J5" s="4" t="inlineStr">
        <is>
          <t>Timed installation, proof test and removal</t>
        </is>
      </c>
      <c r="K5" s="4" t="inlineStr">
        <is>
          <t>Rigging</t>
        </is>
      </c>
    </row>
    <row r="6">
      <c r="A6" s="4" t="n">
        <v>2</v>
      </c>
      <c r="B6" s="4" t="inlineStr">
        <is>
          <t>Lower completed platforms</t>
        </is>
      </c>
      <c r="C6" s="4" t="inlineStr">
        <is>
          <t>Current bent</t>
        </is>
      </c>
      <c r="D6" s="4" t="n">
        <v>0.1</v>
      </c>
      <c r="E6" s="4" t="n">
        <v>0</v>
      </c>
      <c r="F6" s="4" t="n">
        <v>0.1</v>
      </c>
      <c r="G6" s="4" t="inlineStr">
        <is>
          <t>Platform crew</t>
        </is>
      </c>
      <c r="H6" s="12" t="inlineStr">
        <is>
          <t>Modelled</t>
        </is>
      </c>
      <c r="I6" s="4" t="inlineStr">
        <is>
          <t>1 h allowance</t>
        </is>
      </c>
      <c r="J6" s="4" t="inlineStr">
        <is>
          <t>Controlled lowering proven</t>
        </is>
      </c>
      <c r="K6" s="4" t="inlineStr">
        <is>
          <t>Platform/workboat</t>
        </is>
      </c>
    </row>
    <row r="7">
      <c r="A7" s="4" t="n">
        <v>3</v>
      </c>
      <c r="B7" s="4" t="inlineStr">
        <is>
          <t>Tow to next bent</t>
        </is>
      </c>
      <c r="C7" s="4" t="inlineStr">
        <is>
          <t>Marine move</t>
        </is>
      </c>
      <c r="D7" s="4" t="n">
        <v>0.2</v>
      </c>
      <c r="E7" s="4" t="n">
        <v>0</v>
      </c>
      <c r="F7" s="4" t="n">
        <v>0.2</v>
      </c>
      <c r="G7" s="4" t="inlineStr">
        <is>
          <t>Workboat</t>
        </is>
      </c>
      <c r="H7" s="12" t="inlineStr">
        <is>
          <t>Modelled</t>
        </is>
      </c>
      <c r="I7" s="4" t="inlineStr">
        <is>
          <t>2 h allowance</t>
        </is>
      </c>
      <c r="J7" s="4" t="inlineStr">
        <is>
          <t>Defined sea-state/tow limit</t>
        </is>
      </c>
      <c r="K7" s="4" t="inlineStr">
        <is>
          <t>Workboat</t>
        </is>
      </c>
    </row>
    <row r="8">
      <c r="A8" s="4" t="n">
        <v>4</v>
      </c>
      <c r="B8" s="4" t="inlineStr">
        <is>
          <t>Position, hook-on and winch</t>
        </is>
      </c>
      <c r="C8" s="4" t="inlineStr">
        <is>
          <t>New bent</t>
        </is>
      </c>
      <c r="D8" s="4" t="n">
        <v>0.2</v>
      </c>
      <c r="E8" s="4" t="n">
        <v>0</v>
      </c>
      <c r="F8" s="4" t="n">
        <v>0.2</v>
      </c>
      <c r="G8" s="4" t="inlineStr">
        <is>
          <t>Rigging/platform crew</t>
        </is>
      </c>
      <c r="H8" s="12" t="inlineStr">
        <is>
          <t>Modelled</t>
        </is>
      </c>
      <c r="I8" s="4" t="inlineStr">
        <is>
          <t>2 h allowance</t>
        </is>
      </c>
      <c r="J8" s="4" t="inlineStr">
        <is>
          <t>Timed lift, level and restraint</t>
        </is>
      </c>
      <c r="K8" s="4" t="inlineStr">
        <is>
          <t>Platform/rigging</t>
        </is>
      </c>
    </row>
    <row r="9">
      <c r="A9" s="4" t="n">
        <v>5</v>
      </c>
      <c r="B9" s="4" t="inlineStr">
        <is>
          <t>Move access tower</t>
        </is>
      </c>
      <c r="C9" s="4" t="inlineStr">
        <is>
          <t>New bent</t>
        </is>
      </c>
      <c r="D9" s="4" t="n">
        <v>0.1</v>
      </c>
      <c r="E9" s="4" t="n">
        <v>0</v>
      </c>
      <c r="F9" s="4" t="n">
        <v>0.1</v>
      </c>
      <c r="G9" s="4" t="inlineStr">
        <is>
          <t>JUB crane crew</t>
        </is>
      </c>
      <c r="H9" s="12" t="inlineStr">
        <is>
          <t>Modelled</t>
        </is>
      </c>
      <c r="I9" s="4" t="inlineStr">
        <is>
          <t>1 h allowance</t>
        </is>
      </c>
      <c r="J9" s="4" t="inlineStr">
        <is>
          <t>Crane/clump-weight method proven</t>
        </is>
      </c>
      <c r="K9" s="4" t="inlineStr">
        <is>
          <t>JUB</t>
        </is>
      </c>
    </row>
    <row r="10">
      <c r="A10" s="4" t="n">
        <v>6</v>
      </c>
      <c r="B10" s="4" t="inlineStr">
        <is>
          <t>Traversing decks and services</t>
        </is>
      </c>
      <c r="C10" s="4" t="inlineStr">
        <is>
          <t>New bent</t>
        </is>
      </c>
      <c r="D10" s="4" t="n">
        <v>0.1</v>
      </c>
      <c r="E10" s="4" t="n">
        <v>0</v>
      </c>
      <c r="F10" s="4" t="n">
        <v>0.1</v>
      </c>
      <c r="G10" s="4" t="inlineStr">
        <is>
          <t>Platform crew</t>
        </is>
      </c>
      <c r="H10" s="12" t="inlineStr">
        <is>
          <t>Modelled</t>
        </is>
      </c>
      <c r="I10" s="4" t="inlineStr">
        <is>
          <t>1 h allowance</t>
        </is>
      </c>
      <c r="J10" s="4" t="inlineStr">
        <is>
          <t>Temporary-works design and timed cycle</t>
        </is>
      </c>
      <c r="K10" s="4" t="inlineStr">
        <is>
          <t>Platform/services</t>
        </is>
      </c>
    </row>
    <row r="11">
      <c r="A11" s="4" t="n">
        <v>7</v>
      </c>
      <c r="B11" s="4" t="inlineStr">
        <is>
          <t>Wash, inspect and UT</t>
        </is>
      </c>
      <c r="C11" s="4" t="inlineStr">
        <is>
          <t>Whole bent</t>
        </is>
      </c>
      <c r="D11" s="4" t="n">
        <v>0.5</v>
      </c>
      <c r="E11" s="4" t="n">
        <v>0</v>
      </c>
      <c r="F11" s="4" t="n">
        <v>0.5</v>
      </c>
      <c r="G11" s="4" t="inlineStr">
        <is>
          <t>Inspection team</t>
        </is>
      </c>
      <c r="H11" s="12" t="inlineStr">
        <is>
          <t>Modelled</t>
        </is>
      </c>
      <c r="I11" s="4" t="inlineStr">
        <is>
          <t>Concept allowance</t>
        </is>
      </c>
      <c r="J11" s="4" t="inlineStr">
        <is>
          <t>Accepted inspection dossier</t>
        </is>
      </c>
      <c r="K11" s="4" t="inlineStr">
        <is>
          <t>Labour</t>
        </is>
      </c>
    </row>
    <row r="12">
      <c r="A12" s="4" t="n">
        <v>8</v>
      </c>
      <c r="B12" s="4" t="inlineStr">
        <is>
          <t>Diagnostic blast, two pile bands</t>
        </is>
      </c>
      <c r="C12" s="4" t="inlineStr">
        <is>
          <t>Piles</t>
        </is>
      </c>
      <c r="D12" s="4" t="n">
        <v>1</v>
      </c>
      <c r="E12" s="4" t="n">
        <v>0</v>
      </c>
      <c r="F12" s="4" t="n">
        <v>1</v>
      </c>
      <c r="G12" s="4" t="inlineStr">
        <is>
          <t>Blast team</t>
        </is>
      </c>
      <c r="H12" s="12" t="inlineStr">
        <is>
          <t>Modelled</t>
        </is>
      </c>
      <c r="I12" s="4" t="inlineStr">
        <is>
          <t>Approx. 27-29 m²; conservative lot allowance</t>
        </is>
      </c>
      <c r="J12" s="4" t="inlineStr">
        <is>
          <t>Profile/cleanliness/environment accepted</t>
        </is>
      </c>
      <c r="K12" s="4" t="inlineStr">
        <is>
          <t>Blast plant</t>
        </is>
      </c>
    </row>
    <row r="13">
      <c r="A13" s="4" t="n">
        <v>9</v>
      </c>
      <c r="B13" s="4" t="inlineStr">
        <is>
          <t>Headstock enclosure and diagnostic blast</t>
        </is>
      </c>
      <c r="C13" s="4" t="inlineStr">
        <is>
          <t>Headstock</t>
        </is>
      </c>
      <c r="D13" s="4" t="n">
        <v>0</v>
      </c>
      <c r="E13" s="4" t="n">
        <v>0</v>
      </c>
      <c r="F13" s="4" t="n">
        <v>0</v>
      </c>
      <c r="G13" s="4" t="inlineStr">
        <is>
          <t>Containment/blast team</t>
        </is>
      </c>
      <c r="H13" s="6" t="inlineStr">
        <is>
          <t>NOT MODELLED</t>
        </is>
      </c>
      <c r="I13" s="4" t="inlineStr">
        <is>
          <t>Supplier concept required</t>
        </is>
      </c>
      <c r="J13" s="4" t="inlineStr">
        <is>
          <t>Measured accepted cycle</t>
        </is>
      </c>
      <c r="K13" s="4" t="inlineStr">
        <is>
          <t>Containment</t>
        </is>
      </c>
    </row>
    <row r="14">
      <c r="A14" s="4" t="n">
        <v>10</v>
      </c>
      <c r="B14" s="4" t="inlineStr">
        <is>
          <t>Mark-up and repair definition</t>
        </is>
      </c>
      <c r="C14" s="4" t="inlineStr">
        <is>
          <t>Whole bent</t>
        </is>
      </c>
      <c r="D14" s="4" t="n">
        <v>0.5</v>
      </c>
      <c r="E14" s="4" t="n">
        <v>0</v>
      </c>
      <c r="F14" s="4" t="n">
        <v>0.5</v>
      </c>
      <c r="G14" s="4" t="inlineStr">
        <is>
          <t>Inspection/engineer</t>
        </is>
      </c>
      <c r="H14" s="12" t="inlineStr">
        <is>
          <t>Modelled</t>
        </is>
      </c>
      <c r="I14" s="4" t="inlineStr">
        <is>
          <t>Both piles/headstock before submission</t>
        </is>
      </c>
      <c r="J14" s="4" t="inlineStr">
        <is>
          <t>Approved mark-up pack</t>
        </is>
      </c>
      <c r="K14" s="4" t="inlineStr">
        <is>
          <t>Engineering</t>
        </is>
      </c>
    </row>
    <row r="15">
      <c r="A15" s="4" t="n">
        <v>11</v>
      </c>
      <c r="B15" s="4" t="inlineStr">
        <is>
          <t>Repair approval hold</t>
        </is>
      </c>
      <c r="C15" s="4" t="inlineStr">
        <is>
          <t>Whole bent</t>
        </is>
      </c>
      <c r="D15" s="4" t="n">
        <v>0</v>
      </c>
      <c r="E15" s="4" t="n">
        <v>3</v>
      </c>
      <c r="F15" s="4" t="n">
        <v>3</v>
      </c>
      <c r="G15" s="4" t="inlineStr">
        <is>
          <t>Reviewer</t>
        </is>
      </c>
      <c r="H15" s="12" t="inlineStr">
        <is>
          <t>Modelled assumption</t>
        </is>
      </c>
      <c r="I15" s="4" t="inlineStr">
        <is>
          <t>One bent-level submission, subject to approval</t>
        </is>
      </c>
      <c r="J15" s="4" t="inlineStr">
        <is>
          <t>Turnaround achieved</t>
        </is>
      </c>
      <c r="K15" s="4" t="inlineStr">
        <is>
          <t>Set occupancy</t>
        </is>
      </c>
    </row>
    <row r="16">
      <c r="A16" s="4" t="n">
        <v>12</v>
      </c>
      <c r="B16" s="4" t="inlineStr">
        <is>
          <t>Weld repairs and NDT</t>
        </is>
      </c>
      <c r="C16" s="4" t="inlineStr">
        <is>
          <t>Whole bent</t>
        </is>
      </c>
      <c r="D16" s="4" t="n">
        <v>4.42</v>
      </c>
      <c r="E16" s="4" t="n">
        <v>0</v>
      </c>
      <c r="F16" s="4" t="n">
        <v>4.42</v>
      </c>
      <c r="G16" s="4" t="inlineStr">
        <is>
          <t>2 crews at 6 lm/crew-shift</t>
        </is>
      </c>
      <c r="H16" s="12" t="inlineStr">
        <is>
          <t>Modelled</t>
        </is>
      </c>
      <c r="I16" s="4" t="inlineStr">
        <is>
          <t>52.56 lm/bent equivalent</t>
        </is>
      </c>
      <c r="J16" s="4" t="inlineStr">
        <is>
          <t>Accepted output incl. rework</t>
        </is>
      </c>
      <c r="K16" s="4" t="inlineStr">
        <is>
          <t>Weld crews</t>
        </is>
      </c>
    </row>
    <row r="17">
      <c r="A17" s="4" t="n">
        <v>13</v>
      </c>
      <c r="B17" s="4" t="inlineStr">
        <is>
          <t>Post-weld final preparation</t>
        </is>
      </c>
      <c r="C17" s="4" t="inlineStr">
        <is>
          <t>Active work lots</t>
        </is>
      </c>
      <c r="D17" s="4" t="n">
        <v>1</v>
      </c>
      <c r="E17" s="4" t="n">
        <v>0</v>
      </c>
      <c r="F17" s="4" t="n">
        <v>1</v>
      </c>
      <c r="G17" s="4" t="inlineStr">
        <is>
          <t>Blast/prep team</t>
        </is>
      </c>
      <c r="H17" s="12" t="inlineStr">
        <is>
          <t>Modelled</t>
        </is>
      </c>
      <c r="I17" s="4" t="inlineStr">
        <is>
          <t>Local preparation allowance</t>
        </is>
      </c>
      <c r="J17" s="4" t="inlineStr">
        <is>
          <t>Coating hold point accepted</t>
        </is>
      </c>
      <c r="K17" s="4" t="inlineStr">
        <is>
          <t>Blast plant</t>
        </is>
      </c>
    </row>
    <row r="18">
      <c r="A18" s="4" t="n">
        <v>14</v>
      </c>
      <c r="B18" s="4" t="inlineStr">
        <is>
          <t>Coating active work and QA</t>
        </is>
      </c>
      <c r="C18" s="4" t="inlineStr">
        <is>
          <t>Pile/headstock lots</t>
        </is>
      </c>
      <c r="D18" s="4" t="n">
        <v>1.5</v>
      </c>
      <c r="E18" s="4" t="n">
        <v>0</v>
      </c>
      <c r="F18" s="4" t="n">
        <v>1.5</v>
      </c>
      <c r="G18" s="4" t="inlineStr">
        <is>
          <t>Coating team</t>
        </is>
      </c>
      <c r="H18" s="12" t="inlineStr">
        <is>
          <t>Modelled active work</t>
        </is>
      </c>
      <c r="I18" s="4" t="inlineStr">
        <is>
          <t>Stripe coats and QA included</t>
        </is>
      </c>
      <c r="J18" s="4" t="inlineStr">
        <is>
          <t>G01/Dulux/ITP acceptance</t>
        </is>
      </c>
      <c r="K18" s="4" t="inlineStr">
        <is>
          <t>Coating</t>
        </is>
      </c>
    </row>
    <row r="19">
      <c r="A19" s="4" t="n">
        <v>15</v>
      </c>
      <c r="B19" s="4" t="inlineStr">
        <is>
          <t>Coating wash/dry and recoat elapsed holds</t>
        </is>
      </c>
      <c r="C19" s="4" t="inlineStr">
        <is>
          <t>Pile/headstock lots</t>
        </is>
      </c>
      <c r="D19" s="4" t="n">
        <v>0</v>
      </c>
      <c r="E19" s="4" t="n">
        <v>0</v>
      </c>
      <c r="F19" s="4" t="n">
        <v>0</v>
      </c>
      <c r="G19" s="4" t="inlineStr">
        <is>
          <t>No active crew</t>
        </is>
      </c>
      <c r="H19" s="6" t="inlineStr">
        <is>
          <t>NOT MODELLED</t>
        </is>
      </c>
      <c r="I19" s="4" t="inlineStr">
        <is>
          <t>14 h min, 14 d max; work-lot logic open</t>
        </is>
      </c>
      <c r="J19" s="4" t="inlineStr">
        <is>
          <t>Trial elapsed cycle</t>
        </is>
      </c>
      <c r="K19" s="4" t="inlineStr">
        <is>
          <t>Set occupancy</t>
        </is>
      </c>
    </row>
    <row r="20">
      <c r="A20" s="4" t="n">
        <v>16</v>
      </c>
      <c r="B20" s="4" t="inlineStr">
        <is>
          <t>Petrolatum jacket, accessible tidal band</t>
        </is>
      </c>
      <c r="C20" s="4" t="inlineStr">
        <is>
          <t>Piles</t>
        </is>
      </c>
      <c r="D20" s="4" t="n">
        <v>0.5</v>
      </c>
      <c r="E20" s="4" t="n">
        <v>0</v>
      </c>
      <c r="F20" s="4" t="n">
        <v>0.5</v>
      </c>
      <c r="G20" s="4" t="inlineStr">
        <is>
          <t>3-person jacket crew</t>
        </is>
      </c>
      <c r="H20" s="12" t="inlineStr">
        <is>
          <t>Modelled</t>
        </is>
      </c>
      <c r="I20" s="4" t="inlineStr">
        <is>
          <t>Below-LAT excluded</t>
        </is>
      </c>
      <c r="J20" s="4" t="inlineStr">
        <is>
          <t>Timed accepted pile cycle</t>
        </is>
      </c>
      <c r="K20" s="4" t="inlineStr">
        <is>
          <t>Jackets</t>
        </is>
      </c>
    </row>
    <row r="21">
      <c r="A21" s="4" t="n">
        <v>17</v>
      </c>
      <c r="B21" s="4" t="inlineStr">
        <is>
          <t>Jacket installation below LAT</t>
        </is>
      </c>
      <c r="C21" s="4" t="inlineStr">
        <is>
          <t>Piles</t>
        </is>
      </c>
      <c r="D21" s="4" t="n">
        <v>0</v>
      </c>
      <c r="E21" s="4" t="n">
        <v>0</v>
      </c>
      <c r="F21" s="4" t="n">
        <v>0</v>
      </c>
      <c r="G21" s="4" t="inlineStr">
        <is>
          <t>Marine/jacket team</t>
        </is>
      </c>
      <c r="H21" s="6" t="inlineStr">
        <is>
          <t>NOT MODELLED</t>
        </is>
      </c>
      <c r="I21" s="4" t="inlineStr">
        <is>
          <t>Lower termination/method unresolved</t>
        </is>
      </c>
      <c r="J21" s="4" t="inlineStr">
        <is>
          <t>Manufacturer and trial acceptance</t>
        </is>
      </c>
      <c r="K21" s="4" t="inlineStr">
        <is>
          <t>Marine</t>
        </is>
      </c>
    </row>
    <row r="22">
      <c r="A22" s="4" t="n">
        <v>18</v>
      </c>
      <c r="B22" s="4" t="inlineStr">
        <is>
          <t>Containment moves / changeover</t>
        </is>
      </c>
      <c r="C22" s="4" t="inlineStr">
        <is>
          <t>Bent</t>
        </is>
      </c>
      <c r="D22" s="4" t="n">
        <v>0.5</v>
      </c>
      <c r="E22" s="4" t="n">
        <v>0</v>
      </c>
      <c r="F22" s="4" t="n">
        <v>0.5</v>
      </c>
      <c r="G22" s="4" t="inlineStr">
        <is>
          <t>Containment crew</t>
        </is>
      </c>
      <c r="H22" s="12" t="inlineStr">
        <is>
          <t>Modelled</t>
        </is>
      </c>
      <c r="I22" s="4" t="inlineStr">
        <is>
          <t>Half-shell movement allowance</t>
        </is>
      </c>
      <c r="J22" s="4" t="inlineStr">
        <is>
          <t>Timed close/open/reposition</t>
        </is>
      </c>
      <c r="K22" s="4" t="inlineStr">
        <is>
          <t>Containment</t>
        </is>
      </c>
    </row>
    <row r="23">
      <c r="A23" s="4" t="n">
        <v>19</v>
      </c>
      <c r="B23" s="4" t="inlineStr">
        <is>
          <t>Clean-out, QA holds and rework</t>
        </is>
      </c>
      <c r="C23" s="4" t="inlineStr">
        <is>
          <t>Bent</t>
        </is>
      </c>
      <c r="D23" s="4" t="n">
        <v>0</v>
      </c>
      <c r="E23" s="4" t="n">
        <v>0</v>
      </c>
      <c r="F23" s="4" t="n">
        <v>0</v>
      </c>
      <c r="G23" s="4" t="inlineStr">
        <is>
          <t>Multi-trade</t>
        </is>
      </c>
      <c r="H23" s="6" t="inlineStr">
        <is>
          <t>NOT MODELLED</t>
        </is>
      </c>
      <c r="I23" s="4" t="inlineStr">
        <is>
          <t>Proving data required</t>
        </is>
      </c>
      <c r="J23" s="4" t="inlineStr">
        <is>
          <t>Measured closeout duration</t>
        </is>
      </c>
      <c r="K23" s="4" t="inlineStr">
        <is>
          <t>Multi-trade</t>
        </is>
      </c>
    </row>
    <row r="24"/>
    <row r="25">
      <c r="A25" s="13" t="inlineStr">
        <is>
          <t>MODELLED TOTAL</t>
        </is>
      </c>
      <c r="B25" s="13" t="n"/>
      <c r="C25" s="13" t="n"/>
      <c r="D25" s="13">
        <f>SUM(D5:D23)</f>
        <v/>
      </c>
      <c r="E25" s="13">
        <f>SUM(E5:E23)</f>
        <v/>
      </c>
      <c r="F25" s="13">
        <f>SUM(F5:F23)</f>
        <v/>
      </c>
      <c r="G25" s="13" t="n"/>
      <c r="H25" s="13" t="n"/>
      <c r="I25" s="13" t="n"/>
      <c r="J25" s="13" t="n"/>
      <c r="K25" s="13" t="n"/>
    </row>
  </sheetData>
  <mergeCells count="3">
    <mergeCell ref="A25:C25"/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10" customWidth="1" min="4" max="4"/>
    <col width="12" customWidth="1" min="5" max="5"/>
    <col width="17" customWidth="1" min="6" max="6"/>
    <col width="17" customWidth="1" min="7" max="7"/>
    <col width="17" customWidth="1" min="8" max="8"/>
    <col width="16" customWidth="1" min="9" max="9"/>
    <col width="15" customWidth="1" min="10" max="10"/>
    <col width="17" customWidth="1" min="11" max="11"/>
  </cols>
  <sheetData>
    <row r="1" ht="28" customHeight="1">
      <c r="A1" s="1" t="inlineStr">
        <is>
          <t>Fleet and Productivity Sensitivity</t>
        </is>
      </c>
    </row>
    <row r="2" ht="32" customHeight="1">
      <c r="A2" s="2" t="inlineStr">
        <is>
          <t>Fleet counts are diagnostics, not procurement recommendations. Missing work increases cycle time.</t>
        </is>
      </c>
    </row>
    <row r="3"/>
    <row r="4" ht="30" customHeight="1">
      <c r="A4" s="5" t="inlineStr">
        <is>
          <t>Scenario</t>
        </is>
      </c>
      <c r="B4" s="5" t="inlineStr">
        <is>
          <t>Description</t>
        </is>
      </c>
      <c r="C4" s="5" t="inlineStr">
        <is>
          <t>Cycle days/set</t>
        </is>
      </c>
      <c r="D4" s="5" t="inlineStr">
        <is>
          <t>Sets</t>
        </is>
      </c>
      <c r="E4" s="5" t="inlineStr">
        <is>
          <t>Days/week</t>
        </is>
      </c>
      <c r="F4" s="5" t="inlineStr">
        <is>
          <t>Residual availability</t>
        </is>
      </c>
      <c r="G4" s="5" t="inlineStr">
        <is>
          <t>Rate, bents/week</t>
        </is>
      </c>
      <c r="H4" s="5" t="inlineStr">
        <is>
          <t>Weeks for 227</t>
        </is>
      </c>
      <c r="I4" s="5" t="inlineStr">
        <is>
          <t>Meets 60 weeks?</t>
        </is>
      </c>
      <c r="J4" s="5" t="inlineStr">
        <is>
          <t>Weld crews/set</t>
        </is>
      </c>
      <c r="K4" s="5" t="inlineStr">
        <is>
          <t>Total weld crews</t>
        </is>
      </c>
    </row>
    <row r="5">
      <c r="A5" s="4" t="inlineStr">
        <is>
          <t>S1</t>
        </is>
      </c>
      <c r="B5" s="4" t="inlineStr">
        <is>
          <t>Base: 2 weld crews/set at 6 lm/crew-shift, one 3-day bent-level approval hold</t>
        </is>
      </c>
      <c r="C5" s="9" t="n">
        <v>14.02</v>
      </c>
      <c r="D5" s="4" t="n">
        <v>11</v>
      </c>
      <c r="E5" s="4" t="n">
        <v>6</v>
      </c>
      <c r="F5" s="14" t="n">
        <v>0.85</v>
      </c>
      <c r="G5" s="9" t="n">
        <v>4.001426533523538</v>
      </c>
      <c r="H5" s="9" t="n">
        <v>56.72976827094475</v>
      </c>
      <c r="I5" s="12" t="inlineStr">
        <is>
          <t>YES</t>
        </is>
      </c>
      <c r="J5" s="4" t="n">
        <v>2</v>
      </c>
      <c r="K5" s="4" t="n">
        <v>22</v>
      </c>
    </row>
    <row r="6">
      <c r="A6" s="4" t="inlineStr">
        <is>
          <t>S2</t>
        </is>
      </c>
      <c r="B6" s="4" t="inlineStr">
        <is>
          <t>4 weld crews/set at 8 lm/crew-shift, full approval hold</t>
        </is>
      </c>
      <c r="C6" s="9" t="n">
        <v>11.26</v>
      </c>
      <c r="D6" s="4" t="n">
        <v>9</v>
      </c>
      <c r="E6" s="4" t="n">
        <v>6</v>
      </c>
      <c r="F6" s="14" t="n">
        <v>0.85</v>
      </c>
      <c r="G6" s="9" t="n">
        <v>4.076376554174067</v>
      </c>
      <c r="H6" s="9" t="n">
        <v>55.68671023965142</v>
      </c>
      <c r="I6" s="12" t="inlineStr">
        <is>
          <t>YES</t>
        </is>
      </c>
      <c r="J6" s="4" t="n">
        <v>4</v>
      </c>
      <c r="K6" s="4" t="n">
        <v>36</v>
      </c>
    </row>
    <row r="7">
      <c r="A7" s="4" t="inlineStr">
        <is>
          <t>S3</t>
        </is>
      </c>
      <c r="B7" s="4" t="inlineStr">
        <is>
          <t>S2 plus no routine approval hold under accepted repair library/delegation</t>
        </is>
      </c>
      <c r="C7" s="9" t="n">
        <v>8.26</v>
      </c>
      <c r="D7" s="4" t="n">
        <v>7</v>
      </c>
      <c r="E7" s="4" t="n">
        <v>6</v>
      </c>
      <c r="F7" s="14" t="n">
        <v>0.85</v>
      </c>
      <c r="G7" s="9" t="n">
        <v>4.322033898305085</v>
      </c>
      <c r="H7" s="9" t="n">
        <v>52.52156862745098</v>
      </c>
      <c r="I7" s="12" t="inlineStr">
        <is>
          <t>YES</t>
        </is>
      </c>
      <c r="J7" s="4" t="n">
        <v>4</v>
      </c>
      <c r="K7" s="4" t="n">
        <v>28</v>
      </c>
    </row>
    <row r="8">
      <c r="A8" s="4" t="inlineStr">
        <is>
          <t>S4</t>
        </is>
      </c>
      <c r="B8" s="4" t="inlineStr">
        <is>
          <t>6 weld crews/set at 10 lm/crew-shift, no routine approval hold</t>
        </is>
      </c>
      <c r="C8" s="9" t="n">
        <v>7.48</v>
      </c>
      <c r="D8" s="4" t="n">
        <v>6</v>
      </c>
      <c r="E8" s="4" t="n">
        <v>6</v>
      </c>
      <c r="F8" s="14" t="n">
        <v>0.85</v>
      </c>
      <c r="G8" s="9" t="n">
        <v>4.090909090909091</v>
      </c>
      <c r="H8" s="9" t="n">
        <v>55.48888888888889</v>
      </c>
      <c r="I8" s="12" t="inlineStr">
        <is>
          <t>YES</t>
        </is>
      </c>
      <c r="J8" s="4" t="n">
        <v>6</v>
      </c>
      <c r="K8" s="4" t="n">
        <v>36</v>
      </c>
    </row>
    <row r="9"/>
    <row r="10" ht="22" customHeight="1">
      <c r="A10" s="10" t="inlineStr">
        <is>
          <t>Sets sensitivity</t>
        </is>
      </c>
    </row>
    <row r="11" ht="30" customHeight="1">
      <c r="A11" s="5" t="inlineStr">
        <is>
          <t>Sets</t>
        </is>
      </c>
      <c r="B11" s="5" t="inlineStr">
        <is>
          <t>S1 base</t>
        </is>
      </c>
      <c r="C11" s="5" t="inlineStr">
        <is>
          <t>S2</t>
        </is>
      </c>
      <c r="D11" s="5" t="inlineStr">
        <is>
          <t>S3</t>
        </is>
      </c>
      <c r="E11" s="5" t="inlineStr">
        <is>
          <t>S4</t>
        </is>
      </c>
      <c r="F11" s="5" t="inlineStr">
        <is>
          <t>Stress target</t>
        </is>
      </c>
      <c r="G11" s="5" t="inlineStr">
        <is>
          <t>Base weeks</t>
        </is>
      </c>
      <c r="H11" s="5" t="inlineStr">
        <is>
          <t>Comment</t>
        </is>
      </c>
    </row>
    <row r="12">
      <c r="A12" s="4" t="n">
        <v>2</v>
      </c>
      <c r="B12" s="9" t="n">
        <v>0.7275320970042796</v>
      </c>
      <c r="C12" s="9" t="n">
        <v>0.9058614564831261</v>
      </c>
      <c r="D12" s="9" t="n">
        <v>1.234866828087167</v>
      </c>
      <c r="E12" s="9" t="n">
        <v>1.363636363636364</v>
      </c>
      <c r="F12" s="9" t="n">
        <v>3.783333333333333</v>
      </c>
      <c r="G12" s="9" t="n">
        <v>312.0137254901961</v>
      </c>
      <c r="H12" s="4" t="inlineStr">
        <is>
          <t>Diagnostic only</t>
        </is>
      </c>
    </row>
    <row r="13">
      <c r="A13" s="4" t="n">
        <v>3</v>
      </c>
      <c r="B13" s="9" t="n">
        <v>1.091298145506419</v>
      </c>
      <c r="C13" s="9" t="n">
        <v>1.358792184724689</v>
      </c>
      <c r="D13" s="9" t="n">
        <v>1.852300242130751</v>
      </c>
      <c r="E13" s="9" t="n">
        <v>2.045454545454545</v>
      </c>
      <c r="F13" s="9" t="n">
        <v>3.783333333333333</v>
      </c>
      <c r="G13" s="9" t="n">
        <v>208.0091503267974</v>
      </c>
      <c r="H13" s="4" t="inlineStr">
        <is>
          <t>Diagnostic only</t>
        </is>
      </c>
    </row>
    <row r="14">
      <c r="A14" s="4" t="n">
        <v>4</v>
      </c>
      <c r="B14" s="9" t="n">
        <v>1.455064194008559</v>
      </c>
      <c r="C14" s="9" t="n">
        <v>1.811722912966252</v>
      </c>
      <c r="D14" s="9" t="n">
        <v>2.469733656174334</v>
      </c>
      <c r="E14" s="9" t="n">
        <v>2.727272727272727</v>
      </c>
      <c r="F14" s="9" t="n">
        <v>3.783333333333333</v>
      </c>
      <c r="G14" s="9" t="n">
        <v>156.006862745098</v>
      </c>
      <c r="H14" s="4" t="inlineStr">
        <is>
          <t>Diagnostic only</t>
        </is>
      </c>
    </row>
    <row r="15">
      <c r="A15" s="4" t="n">
        <v>5</v>
      </c>
      <c r="B15" s="9" t="n">
        <v>1.818830242510699</v>
      </c>
      <c r="C15" s="9" t="n">
        <v>2.264653641207815</v>
      </c>
      <c r="D15" s="9" t="n">
        <v>3.087167070217918</v>
      </c>
      <c r="E15" s="9" t="n">
        <v>3.409090909090909</v>
      </c>
      <c r="F15" s="9" t="n">
        <v>3.783333333333333</v>
      </c>
      <c r="G15" s="9" t="n">
        <v>124.8054901960785</v>
      </c>
      <c r="H15" s="4" t="inlineStr">
        <is>
          <t>Diagnostic only</t>
        </is>
      </c>
    </row>
    <row r="16">
      <c r="A16" s="4" t="n">
        <v>6</v>
      </c>
      <c r="B16" s="9" t="n">
        <v>2.182596291012839</v>
      </c>
      <c r="C16" s="9" t="n">
        <v>2.717584369449378</v>
      </c>
      <c r="D16" s="9" t="n">
        <v>3.704600484261501</v>
      </c>
      <c r="E16" s="9" t="n">
        <v>4.090909090909091</v>
      </c>
      <c r="F16" s="9" t="n">
        <v>3.783333333333333</v>
      </c>
      <c r="G16" s="9" t="n">
        <v>104.0045751633987</v>
      </c>
      <c r="H16" s="4" t="inlineStr">
        <is>
          <t>Diagnostic only</t>
        </is>
      </c>
    </row>
    <row r="17">
      <c r="A17" s="4" t="n">
        <v>7</v>
      </c>
      <c r="B17" s="9" t="n">
        <v>2.546362339514979</v>
      </c>
      <c r="C17" s="9" t="n">
        <v>3.170515097690942</v>
      </c>
      <c r="D17" s="9" t="n">
        <v>4.322033898305085</v>
      </c>
      <c r="E17" s="9" t="n">
        <v>4.772727272727272</v>
      </c>
      <c r="F17" s="9" t="n">
        <v>3.783333333333333</v>
      </c>
      <c r="G17" s="9" t="n">
        <v>89.1467787114846</v>
      </c>
      <c r="H17" s="4" t="inlineStr">
        <is>
          <t>Diagnostic only</t>
        </is>
      </c>
    </row>
    <row r="18">
      <c r="A18" s="4" t="n">
        <v>8</v>
      </c>
      <c r="B18" s="9" t="n">
        <v>2.910128388017118</v>
      </c>
      <c r="C18" s="9" t="n">
        <v>3.623445825932504</v>
      </c>
      <c r="D18" s="9" t="n">
        <v>4.939467312348668</v>
      </c>
      <c r="E18" s="9" t="n">
        <v>5.454545454545454</v>
      </c>
      <c r="F18" s="9" t="n">
        <v>3.783333333333333</v>
      </c>
      <c r="G18" s="9" t="n">
        <v>78.00343137254902</v>
      </c>
      <c r="H18" s="4" t="inlineStr">
        <is>
          <t>Diagnostic only</t>
        </is>
      </c>
    </row>
    <row r="19">
      <c r="A19" s="4" t="n">
        <v>9</v>
      </c>
      <c r="B19" s="9" t="n">
        <v>3.273894436519258</v>
      </c>
      <c r="C19" s="9" t="n">
        <v>4.076376554174067</v>
      </c>
      <c r="D19" s="9" t="n">
        <v>5.556900726392252</v>
      </c>
      <c r="E19" s="9" t="n">
        <v>6.136363636363636</v>
      </c>
      <c r="F19" s="9" t="n">
        <v>3.783333333333333</v>
      </c>
      <c r="G19" s="9" t="n">
        <v>69.33638344226578</v>
      </c>
      <c r="H19" s="4" t="inlineStr">
        <is>
          <t>Diagnostic only</t>
        </is>
      </c>
    </row>
    <row r="20">
      <c r="A20" s="4" t="n">
        <v>10</v>
      </c>
      <c r="B20" s="9" t="n">
        <v>3.637660485021398</v>
      </c>
      <c r="C20" s="9" t="n">
        <v>4.529307282415631</v>
      </c>
      <c r="D20" s="9" t="n">
        <v>6.174334140435835</v>
      </c>
      <c r="E20" s="9" t="n">
        <v>6.818181818181818</v>
      </c>
      <c r="F20" s="9" t="n">
        <v>3.783333333333333</v>
      </c>
      <c r="G20" s="9" t="n">
        <v>62.40274509803923</v>
      </c>
      <c r="H20" s="4" t="inlineStr">
        <is>
          <t>Diagnostic only</t>
        </is>
      </c>
    </row>
    <row r="21">
      <c r="A21" s="4" t="n">
        <v>11</v>
      </c>
      <c r="B21" s="9" t="n">
        <v>4.001426533523538</v>
      </c>
      <c r="C21" s="9" t="n">
        <v>4.982238010657194</v>
      </c>
      <c r="D21" s="9" t="n">
        <v>6.791767554479419</v>
      </c>
      <c r="E21" s="9" t="n">
        <v>7.499999999999999</v>
      </c>
      <c r="F21" s="9" t="n">
        <v>3.783333333333333</v>
      </c>
      <c r="G21" s="9" t="n">
        <v>56.72976827094475</v>
      </c>
      <c r="H21" s="4" t="inlineStr">
        <is>
          <t>Base meets target</t>
        </is>
      </c>
    </row>
    <row r="22">
      <c r="A22" s="4" t="n">
        <v>12</v>
      </c>
      <c r="B22" s="9" t="n">
        <v>4.365192582025678</v>
      </c>
      <c r="C22" s="9" t="n">
        <v>5.435168738898756</v>
      </c>
      <c r="D22" s="9" t="n">
        <v>7.409200968523002</v>
      </c>
      <c r="E22" s="9" t="n">
        <v>8.181818181818182</v>
      </c>
      <c r="F22" s="9" t="n">
        <v>3.783333333333333</v>
      </c>
      <c r="G22" s="9" t="n">
        <v>52.00228758169934</v>
      </c>
      <c r="H22" s="4" t="inlineStr">
        <is>
          <t>Base meets target</t>
        </is>
      </c>
    </row>
  </sheetData>
  <mergeCells count="3">
    <mergeCell ref="A2:L2"/>
    <mergeCell ref="A1:L1"/>
    <mergeCell ref="A10:H10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34" customWidth="1" min="7" max="7"/>
    <col width="18" customWidth="1" min="8" max="8"/>
    <col width="52" customWidth="1" min="9" max="9"/>
  </cols>
  <sheetData>
    <row r="1" ht="28" customHeight="1">
      <c r="A1" s="1" t="inlineStr">
        <is>
          <t>Resource Build-up by Scenario</t>
        </is>
      </c>
    </row>
    <row r="2" ht="32" customHeight="1">
      <c r="A2" s="2" t="inlineStr">
        <is>
          <t>Transparent planning allowances. Safe simultaneous work zones remain a proving-campaign gate.</t>
        </is>
      </c>
    </row>
    <row r="3"/>
    <row r="4" ht="30" customHeight="1">
      <c r="A4" s="5" t="inlineStr">
        <is>
          <t>Resource</t>
        </is>
      </c>
      <c r="B4" s="5" t="inlineStr">
        <is>
          <t>Unit</t>
        </is>
      </c>
      <c r="C4" s="5" t="inlineStr">
        <is>
          <t>S1</t>
        </is>
      </c>
      <c r="D4" s="5" t="inlineStr">
        <is>
          <t>S2</t>
        </is>
      </c>
      <c r="E4" s="5" t="inlineStr">
        <is>
          <t>S3</t>
        </is>
      </c>
      <c r="F4" s="5" t="inlineStr">
        <is>
          <t>S4</t>
        </is>
      </c>
      <c r="G4" s="5" t="inlineStr">
        <is>
          <t>Basis</t>
        </is>
      </c>
      <c r="H4" s="5" t="inlineStr">
        <is>
          <t>Confidence</t>
        </is>
      </c>
      <c r="I4" s="5" t="inlineStr">
        <is>
          <t>Key limitation</t>
        </is>
      </c>
    </row>
    <row r="5">
      <c r="A5" s="4" t="inlineStr">
        <is>
          <t>Weld crews, 2 persons</t>
        </is>
      </c>
      <c r="B5" s="4" t="inlineStr">
        <is>
          <t>crew</t>
        </is>
      </c>
      <c r="C5" s="4" t="n">
        <v>22</v>
      </c>
      <c r="D5" s="4" t="n">
        <v>36</v>
      </c>
      <c r="E5" s="4" t="n">
        <v>28</v>
      </c>
      <c r="F5" s="4" t="n">
        <v>36</v>
      </c>
      <c r="G5" s="4" t="inlineStr">
        <is>
          <t>Sets × crews/set</t>
        </is>
      </c>
      <c r="H5" s="4" t="inlineStr">
        <is>
          <t>Low-Medium</t>
        </is>
      </c>
      <c r="I5" s="4" t="inlineStr">
        <is>
          <t>Safe simultaneous weld zones not proven</t>
        </is>
      </c>
    </row>
    <row r="6">
      <c r="A6" s="4" t="inlineStr">
        <is>
          <t>Blast/coating crews</t>
        </is>
      </c>
      <c r="B6" s="4" t="inlineStr">
        <is>
          <t>crew</t>
        </is>
      </c>
      <c r="C6" s="4" t="n">
        <v>11</v>
      </c>
      <c r="D6" s="4" t="n">
        <v>9</v>
      </c>
      <c r="E6" s="4" t="n">
        <v>7</v>
      </c>
      <c r="F6" s="4" t="n">
        <v>6</v>
      </c>
      <c r="G6" s="4" t="inlineStr">
        <is>
          <t>1 per active set</t>
        </is>
      </c>
      <c r="H6" s="4" t="inlineStr">
        <is>
          <t>Low</t>
        </is>
      </c>
      <c r="I6" s="4" t="inlineStr">
        <is>
          <t>Zoning and recoat logic open</t>
        </is>
      </c>
    </row>
    <row r="7">
      <c r="A7" s="4" t="inlineStr">
        <is>
          <t>Inspection/UT teams</t>
        </is>
      </c>
      <c r="B7" s="4" t="inlineStr">
        <is>
          <t>team</t>
        </is>
      </c>
      <c r="C7" s="4" t="n">
        <v>6</v>
      </c>
      <c r="D7" s="4" t="n">
        <v>5</v>
      </c>
      <c r="E7" s="4" t="n">
        <v>4</v>
      </c>
      <c r="F7" s="4" t="n">
        <v>3</v>
      </c>
      <c r="G7" s="4" t="inlineStr">
        <is>
          <t>Shared at 0.5 team/set</t>
        </is>
      </c>
      <c r="H7" s="4" t="inlineStr">
        <is>
          <t>Medium</t>
        </is>
      </c>
      <c r="I7" s="4" t="inlineStr">
        <is>
          <t>Advance screening does not replace diagnostic blast</t>
        </is>
      </c>
    </row>
    <row r="8">
      <c r="A8" s="4" t="inlineStr">
        <is>
          <t>Containment/platform crews</t>
        </is>
      </c>
      <c r="B8" s="4" t="inlineStr">
        <is>
          <t>crew</t>
        </is>
      </c>
      <c r="C8" s="4" t="n">
        <v>11</v>
      </c>
      <c r="D8" s="4" t="n">
        <v>9</v>
      </c>
      <c r="E8" s="4" t="n">
        <v>7</v>
      </c>
      <c r="F8" s="4" t="n">
        <v>6</v>
      </c>
      <c r="G8" s="4" t="inlineStr">
        <is>
          <t>1 per set</t>
        </is>
      </c>
      <c r="H8" s="4" t="inlineStr">
        <is>
          <t>Low</t>
        </is>
      </c>
      <c r="I8" s="4" t="inlineStr">
        <is>
          <t>Supplier handling method open</t>
        </is>
      </c>
    </row>
    <row r="9">
      <c r="A9" s="4" t="inlineStr">
        <is>
          <t>Advance rigging crews</t>
        </is>
      </c>
      <c r="B9" s="4" t="inlineStr">
        <is>
          <t>crew</t>
        </is>
      </c>
      <c r="C9" s="4" t="n">
        <v>3</v>
      </c>
      <c r="D9" s="4" t="n">
        <v>3</v>
      </c>
      <c r="E9" s="4" t="n">
        <v>2</v>
      </c>
      <c r="F9" s="4" t="n">
        <v>2</v>
      </c>
      <c r="G9" s="4" t="inlineStr">
        <is>
          <t>Shared ahead of front</t>
        </is>
      </c>
      <c r="H9" s="4" t="inlineStr">
        <is>
          <t>Low-Medium</t>
        </is>
      </c>
      <c r="I9" s="4" t="inlineStr">
        <is>
          <t>Proof-test cycle open</t>
        </is>
      </c>
    </row>
    <row r="10">
      <c r="A10" s="4" t="inlineStr">
        <is>
          <t>Jacket crews, 3 persons</t>
        </is>
      </c>
      <c r="B10" s="4" t="inlineStr">
        <is>
          <t>crew</t>
        </is>
      </c>
      <c r="C10" s="4" t="n">
        <v>6</v>
      </c>
      <c r="D10" s="4" t="n">
        <v>5</v>
      </c>
      <c r="E10" s="4" t="n">
        <v>4</v>
      </c>
      <c r="F10" s="4" t="n">
        <v>3</v>
      </c>
      <c r="G10" s="4" t="inlineStr">
        <is>
          <t>Shared at 0.5 crew/set</t>
        </is>
      </c>
      <c r="H10" s="4" t="inlineStr">
        <is>
          <t>Low</t>
        </is>
      </c>
      <c r="I10" s="4" t="inlineStr">
        <is>
          <t>Below-LAT method open</t>
        </is>
      </c>
    </row>
    <row r="11">
      <c r="A11" s="4" t="inlineStr">
        <is>
          <t>JUB marine crew</t>
        </is>
      </c>
      <c r="B11" s="4" t="inlineStr">
        <is>
          <t>person</t>
        </is>
      </c>
      <c r="C11" s="4" t="n">
        <v>4</v>
      </c>
      <c r="D11" s="4" t="n">
        <v>4</v>
      </c>
      <c r="E11" s="4" t="n">
        <v>4</v>
      </c>
      <c r="F11" s="4" t="n">
        <v>4</v>
      </c>
      <c r="G11" s="4" t="inlineStr">
        <is>
          <t>Bargemaster/crane/deck support</t>
        </is>
      </c>
      <c r="H11" s="4" t="inlineStr">
        <is>
          <t>Low</t>
        </is>
      </c>
      <c r="I11" s="4" t="inlineStr">
        <is>
          <t>Unit not selected</t>
        </is>
      </c>
    </row>
    <row r="12">
      <c r="A12" s="4" t="inlineStr">
        <is>
          <t>Workboat master/deckhand</t>
        </is>
      </c>
      <c r="B12" s="4" t="inlineStr">
        <is>
          <t>person</t>
        </is>
      </c>
      <c r="C12" s="4" t="n">
        <v>2</v>
      </c>
      <c r="D12" s="4" t="n">
        <v>2</v>
      </c>
      <c r="E12" s="4" t="n">
        <v>2</v>
      </c>
      <c r="F12" s="4" t="n">
        <v>2</v>
      </c>
      <c r="G12" s="4" t="inlineStr">
        <is>
          <t>One workboat</t>
        </is>
      </c>
      <c r="H12" s="4" t="inlineStr">
        <is>
          <t>Medium</t>
        </is>
      </c>
      <c r="I12" s="4" t="inlineStr">
        <is>
          <t>Separate rescue craft may be required</t>
        </is>
      </c>
    </row>
    <row r="13">
      <c r="A13" s="4" t="inlineStr">
        <is>
          <t>Project management/engineering</t>
        </is>
      </c>
      <c r="B13" s="4" t="inlineStr">
        <is>
          <t>person</t>
        </is>
      </c>
      <c r="C13" s="4" t="n">
        <v>6</v>
      </c>
      <c r="D13" s="4" t="n">
        <v>6</v>
      </c>
      <c r="E13" s="4" t="n">
        <v>6</v>
      </c>
      <c r="F13" s="4" t="n">
        <v>6</v>
      </c>
      <c r="G13" s="4" t="inlineStr">
        <is>
          <t>Campaign core</t>
        </is>
      </c>
      <c r="H13" s="4" t="inlineStr">
        <is>
          <t>Medium</t>
        </is>
      </c>
      <c r="I13" s="4" t="inlineStr">
        <is>
          <t>Contractor organisation to confirm</t>
        </is>
      </c>
    </row>
    <row r="14">
      <c r="A14" s="4" t="inlineStr">
        <is>
          <t>HSE/QA/environmental</t>
        </is>
      </c>
      <c r="B14" s="4" t="inlineStr">
        <is>
          <t>person</t>
        </is>
      </c>
      <c r="C14" s="4" t="n">
        <v>6</v>
      </c>
      <c r="D14" s="4" t="n">
        <v>6</v>
      </c>
      <c r="E14" s="4" t="n">
        <v>5</v>
      </c>
      <c r="F14" s="4" t="n">
        <v>5</v>
      </c>
      <c r="G14" s="4" t="inlineStr">
        <is>
          <t>Scales with workfronts</t>
        </is>
      </c>
      <c r="H14" s="4" t="inlineStr">
        <is>
          <t>Low-Medium</t>
        </is>
      </c>
      <c r="I14" s="4" t="inlineStr">
        <is>
          <t>Final SIMOPS and monitoring open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8" customWidth="1" min="3" max="3"/>
    <col width="14" customWidth="1" min="4" max="4"/>
    <col width="13" customWidth="1" min="5" max="5"/>
    <col width="18" customWidth="1" min="6" max="6"/>
    <col width="25" customWidth="1" min="7" max="7"/>
    <col width="17" customWidth="1" min="8" max="8"/>
    <col width="52" customWidth="1" min="9" max="9"/>
    <col width="14" customWidth="1" min="10" max="10"/>
  </cols>
  <sheetData>
    <row r="1" ht="28" customHeight="1">
      <c r="A1" s="1" t="inlineStr">
        <is>
          <t>Commercial Rate Inputs</t>
        </is>
      </c>
    </row>
    <row r="2" ht="32" customHeight="1">
      <c r="A2" s="2" t="inlineStr">
        <is>
          <t>Yellow values are editable working allowances, not supplier quotations. Replace before any external commercial issue.</t>
        </is>
      </c>
    </row>
    <row r="3"/>
    <row r="4" ht="30" customHeight="1">
      <c r="A4" s="5" t="inlineStr">
        <is>
          <t>ID</t>
        </is>
      </c>
      <c r="B4" s="5" t="inlineStr">
        <is>
          <t>Cost item</t>
        </is>
      </c>
      <c r="C4" s="5" t="inlineStr">
        <is>
          <t>Type</t>
        </is>
      </c>
      <c r="D4" s="5" t="inlineStr">
        <is>
          <t>Unit</t>
        </is>
      </c>
      <c r="E4" s="5" t="inlineStr">
        <is>
          <t>Qty basis</t>
        </is>
      </c>
      <c r="F4" s="5" t="inlineStr">
        <is>
          <t>Rate, AUD ex GST</t>
        </is>
      </c>
      <c r="G4" s="5" t="inlineStr">
        <is>
          <t>Source class</t>
        </is>
      </c>
      <c r="H4" s="5" t="inlineStr">
        <is>
          <t>Status</t>
        </is>
      </c>
      <c r="I4" s="5" t="inlineStr">
        <is>
          <t>Source / limitation</t>
        </is>
      </c>
      <c r="J4" s="5" t="inlineStr">
        <is>
          <t>Contingency</t>
        </is>
      </c>
    </row>
    <row r="5">
      <c r="A5" s="4" t="inlineStr">
        <is>
          <t>R001</t>
        </is>
      </c>
      <c r="B5" s="4" t="inlineStr">
        <is>
          <t>Detailed engineering, RPEQ design and independent check</t>
        </is>
      </c>
      <c r="C5" s="4" t="inlineStr">
        <is>
          <t>Fixed</t>
        </is>
      </c>
      <c r="D5" s="4" t="inlineStr">
        <is>
          <t>campaign</t>
        </is>
      </c>
      <c r="E5" s="4" t="n">
        <v>1</v>
      </c>
      <c r="F5" s="15" t="n">
        <v>500000</v>
      </c>
      <c r="G5" s="16" t="inlineStr">
        <is>
          <t>Endura working allowance</t>
        </is>
      </c>
      <c r="H5" s="4" t="inlineStr">
        <is>
          <t>Working input</t>
        </is>
      </c>
      <c r="I5" s="4" t="inlineStr">
        <is>
          <t>Replace with supplier quote where applicable</t>
        </is>
      </c>
      <c r="J5" s="14" t="n">
        <v>0.15</v>
      </c>
    </row>
    <row r="6">
      <c r="A6" s="4" t="inlineStr">
        <is>
          <t>R002</t>
        </is>
      </c>
      <c r="B6" s="4" t="inlineStr">
        <is>
          <t>Platform / winch adaptation, certification and proof-load equipment</t>
        </is>
      </c>
      <c r="C6" s="4" t="inlineStr">
        <is>
          <t>Fixed per set</t>
        </is>
      </c>
      <c r="D6" s="4" t="inlineStr">
        <is>
          <t>set</t>
        </is>
      </c>
      <c r="E6" s="4" t="n">
        <v>1</v>
      </c>
      <c r="F6" s="15" t="n">
        <v>200000</v>
      </c>
      <c r="G6" s="16" t="inlineStr">
        <is>
          <t>Endura working allowance</t>
        </is>
      </c>
      <c r="H6" s="4" t="inlineStr">
        <is>
          <t>Working input</t>
        </is>
      </c>
      <c r="I6" s="4" t="inlineStr">
        <is>
          <t>Replace with supplier quote where applicable</t>
        </is>
      </c>
      <c r="J6" s="14" t="n">
        <v>0.2</v>
      </c>
    </row>
    <row r="7">
      <c r="A7" s="4" t="inlineStr">
        <is>
          <t>R003</t>
        </is>
      </c>
      <c r="B7" s="4" t="inlineStr">
        <is>
          <t>Traversing decks and access tower package</t>
        </is>
      </c>
      <c r="C7" s="4" t="inlineStr">
        <is>
          <t>Fixed per set</t>
        </is>
      </c>
      <c r="D7" s="4" t="inlineStr">
        <is>
          <t>set</t>
        </is>
      </c>
      <c r="E7" s="4" t="n">
        <v>1</v>
      </c>
      <c r="F7" s="15" t="n">
        <v>100000</v>
      </c>
      <c r="G7" s="16" t="inlineStr">
        <is>
          <t>Endura working allowance</t>
        </is>
      </c>
      <c r="H7" s="4" t="inlineStr">
        <is>
          <t>Working input</t>
        </is>
      </c>
      <c r="I7" s="4" t="inlineStr">
        <is>
          <t>Replace with supplier quote where applicable</t>
        </is>
      </c>
      <c r="J7" s="14" t="n">
        <v>0.2</v>
      </c>
    </row>
    <row r="8">
      <c r="A8" s="4" t="inlineStr">
        <is>
          <t>R004</t>
        </is>
      </c>
      <c r="B8" s="4" t="inlineStr">
        <is>
          <t>Pile half-shell containment, extraction interface and sealing</t>
        </is>
      </c>
      <c r="C8" s="4" t="inlineStr">
        <is>
          <t>Fixed per set</t>
        </is>
      </c>
      <c r="D8" s="4" t="inlineStr">
        <is>
          <t>set</t>
        </is>
      </c>
      <c r="E8" s="4" t="n">
        <v>1</v>
      </c>
      <c r="F8" s="15" t="n">
        <v>100000</v>
      </c>
      <c r="G8" s="16" t="inlineStr">
        <is>
          <t>Endura working allowance</t>
        </is>
      </c>
      <c r="H8" s="4" t="inlineStr">
        <is>
          <t>Working input</t>
        </is>
      </c>
      <c r="I8" s="4" t="inlineStr">
        <is>
          <t>Replace with supplier quote where applicable</t>
        </is>
      </c>
      <c r="J8" s="14" t="n">
        <v>0.25</v>
      </c>
    </row>
    <row r="9">
      <c r="A9" s="4" t="inlineStr">
        <is>
          <t>R005</t>
        </is>
      </c>
      <c r="B9" s="4" t="inlineStr">
        <is>
          <t>Headstock containment module allowance</t>
        </is>
      </c>
      <c r="C9" s="4" t="inlineStr">
        <is>
          <t>Fixed per set</t>
        </is>
      </c>
      <c r="D9" s="4" t="inlineStr">
        <is>
          <t>set</t>
        </is>
      </c>
      <c r="E9" s="4" t="n">
        <v>1</v>
      </c>
      <c r="F9" s="15" t="n">
        <v>150000</v>
      </c>
      <c r="G9" s="16" t="inlineStr">
        <is>
          <t>Endura working allowance</t>
        </is>
      </c>
      <c r="H9" s="4" t="inlineStr">
        <is>
          <t>Working input</t>
        </is>
      </c>
      <c r="I9" s="4" t="inlineStr">
        <is>
          <t>Replace with supplier quote where applicable</t>
        </is>
      </c>
      <c r="J9" s="14" t="n">
        <v>0.3</v>
      </c>
    </row>
    <row r="10">
      <c r="A10" s="4" t="inlineStr">
        <is>
          <t>R006</t>
        </is>
      </c>
      <c r="B10" s="4" t="inlineStr">
        <is>
          <t>Marine spread mobilisation and demobilisation</t>
        </is>
      </c>
      <c r="C10" s="4" t="inlineStr">
        <is>
          <t>Fixed</t>
        </is>
      </c>
      <c r="D10" s="4" t="inlineStr">
        <is>
          <t>campaign</t>
        </is>
      </c>
      <c r="E10" s="4" t="n">
        <v>1</v>
      </c>
      <c r="F10" s="15" t="n">
        <v>800000</v>
      </c>
      <c r="G10" s="16" t="inlineStr">
        <is>
          <t>Endura working allowance</t>
        </is>
      </c>
      <c r="H10" s="4" t="inlineStr">
        <is>
          <t>Working input</t>
        </is>
      </c>
      <c r="I10" s="4" t="inlineStr">
        <is>
          <t>Replace with supplier quote where applicable</t>
        </is>
      </c>
      <c r="J10" s="14" t="n">
        <v>0.25</v>
      </c>
    </row>
    <row r="11">
      <c r="A11" s="4" t="inlineStr">
        <is>
          <t>R007</t>
        </is>
      </c>
      <c r="B11" s="4" t="inlineStr">
        <is>
          <t>Proving campaign, instrumentation and engineering closeout</t>
        </is>
      </c>
      <c r="C11" s="4" t="inlineStr">
        <is>
          <t>Fixed</t>
        </is>
      </c>
      <c r="D11" s="4" t="inlineStr">
        <is>
          <t>campaign</t>
        </is>
      </c>
      <c r="E11" s="4" t="n">
        <v>1</v>
      </c>
      <c r="F11" s="15" t="n">
        <v>300000</v>
      </c>
      <c r="G11" s="16" t="inlineStr">
        <is>
          <t>Endura working allowance</t>
        </is>
      </c>
      <c r="H11" s="4" t="inlineStr">
        <is>
          <t>Working input</t>
        </is>
      </c>
      <c r="I11" s="4" t="inlineStr">
        <is>
          <t>Replace with supplier quote where applicable</t>
        </is>
      </c>
      <c r="J11" s="14" t="n">
        <v>0.2</v>
      </c>
    </row>
    <row r="12">
      <c r="A12" s="4" t="inlineStr">
        <is>
          <t>R008</t>
        </is>
      </c>
      <c r="B12" s="4" t="inlineStr">
        <is>
          <t>Permits, marine assurance, environmental plans and insurance studies</t>
        </is>
      </c>
      <c r="C12" s="4" t="inlineStr">
        <is>
          <t>Fixed</t>
        </is>
      </c>
      <c r="D12" s="4" t="inlineStr">
        <is>
          <t>campaign</t>
        </is>
      </c>
      <c r="E12" s="4" t="n">
        <v>1</v>
      </c>
      <c r="F12" s="15" t="n">
        <v>150000</v>
      </c>
      <c r="G12" s="16" t="inlineStr">
        <is>
          <t>Endura working allowance</t>
        </is>
      </c>
      <c r="H12" s="4" t="inlineStr">
        <is>
          <t>Working input</t>
        </is>
      </c>
      <c r="I12" s="4" t="inlineStr">
        <is>
          <t>Replace with supplier quote where applicable</t>
        </is>
      </c>
      <c r="J12" s="14" t="n">
        <v>0.25</v>
      </c>
    </row>
    <row r="13">
      <c r="A13" s="4" t="inlineStr">
        <is>
          <t>R009</t>
        </is>
      </c>
      <c r="B13" s="4" t="inlineStr">
        <is>
          <t>JUB / support barge and service base</t>
        </is>
      </c>
      <c r="C13" s="4" t="inlineStr">
        <is>
          <t>Time</t>
        </is>
      </c>
      <c r="D13" s="4" t="inlineStr">
        <is>
          <t>week</t>
        </is>
      </c>
      <c r="E13" s="4" t="n">
        <v>1</v>
      </c>
      <c r="F13" s="15" t="n">
        <v>35000</v>
      </c>
      <c r="G13" s="16" t="inlineStr">
        <is>
          <t>Specialist working range translated to weekly basis</t>
        </is>
      </c>
      <c r="H13" s="4" t="inlineStr">
        <is>
          <t>Working input</t>
        </is>
      </c>
      <c r="I13" s="4" t="inlineStr">
        <is>
          <t>Replace with supplier quote where applicable</t>
        </is>
      </c>
      <c r="J13" s="14" t="n">
        <v>0.25</v>
      </c>
    </row>
    <row r="14">
      <c r="A14" s="4" t="inlineStr">
        <is>
          <t>R010</t>
        </is>
      </c>
      <c r="B14" s="4" t="inlineStr">
        <is>
          <t>Workboat / multicat / rescue craft</t>
        </is>
      </c>
      <c r="C14" s="4" t="inlineStr">
        <is>
          <t>Time</t>
        </is>
      </c>
      <c r="D14" s="4" t="inlineStr">
        <is>
          <t>week</t>
        </is>
      </c>
      <c r="E14" s="4" t="n">
        <v>1</v>
      </c>
      <c r="F14" s="15" t="n">
        <v>10000</v>
      </c>
      <c r="G14" s="16" t="inlineStr">
        <is>
          <t>Endura allowance pending GGC commercial quote</t>
        </is>
      </c>
      <c r="H14" s="4" t="inlineStr">
        <is>
          <t>Working input</t>
        </is>
      </c>
      <c r="I14" s="4" t="inlineStr">
        <is>
          <t>Replace with supplier quote where applicable</t>
        </is>
      </c>
      <c r="J14" s="14" t="n">
        <v>0.2</v>
      </c>
    </row>
    <row r="15">
      <c r="A15" s="4" t="inlineStr">
        <is>
          <t>R011</t>
        </is>
      </c>
      <c r="B15" s="4" t="inlineStr">
        <is>
          <t>Project management, engineering, planning and supervision</t>
        </is>
      </c>
      <c r="C15" s="4" t="inlineStr">
        <is>
          <t>Time</t>
        </is>
      </c>
      <c r="D15" s="4" t="inlineStr">
        <is>
          <t>week</t>
        </is>
      </c>
      <c r="E15" s="4" t="n">
        <v>1</v>
      </c>
      <c r="F15" s="15" t="n">
        <v>55000</v>
      </c>
      <c r="G15" s="16" t="inlineStr">
        <is>
          <t>Endura working allowance</t>
        </is>
      </c>
      <c r="H15" s="4" t="inlineStr">
        <is>
          <t>Working input</t>
        </is>
      </c>
      <c r="I15" s="4" t="inlineStr">
        <is>
          <t>Replace with supplier quote where applicable</t>
        </is>
      </c>
      <c r="J15" s="14" t="n">
        <v>0.2</v>
      </c>
    </row>
    <row r="16">
      <c r="A16" s="4" t="inlineStr">
        <is>
          <t>R012</t>
        </is>
      </c>
      <c r="B16" s="4" t="inlineStr">
        <is>
          <t>Accommodation, travel and local transport</t>
        </is>
      </c>
      <c r="C16" s="4" t="inlineStr">
        <is>
          <t>Time</t>
        </is>
      </c>
      <c r="D16" s="4" t="inlineStr">
        <is>
          <t>week</t>
        </is>
      </c>
      <c r="E16" s="4" t="n">
        <v>1</v>
      </c>
      <c r="F16" s="15" t="n">
        <v>35000</v>
      </c>
      <c r="G16" s="16" t="inlineStr">
        <is>
          <t>Endura working allowance</t>
        </is>
      </c>
      <c r="H16" s="4" t="inlineStr">
        <is>
          <t>Working input</t>
        </is>
      </c>
      <c r="I16" s="4" t="inlineStr">
        <is>
          <t>Replace with supplier quote where applicable</t>
        </is>
      </c>
      <c r="J16" s="14" t="n">
        <v>0.25</v>
      </c>
    </row>
    <row r="17">
      <c r="A17" s="4" t="inlineStr">
        <is>
          <t>R013</t>
        </is>
      </c>
      <c r="B17" s="4" t="inlineStr">
        <is>
          <t>Power, compressed air, breathing air, wash water and fuel</t>
        </is>
      </c>
      <c r="C17" s="4" t="inlineStr">
        <is>
          <t>Time</t>
        </is>
      </c>
      <c r="D17" s="4" t="inlineStr">
        <is>
          <t>week</t>
        </is>
      </c>
      <c r="E17" s="4" t="n">
        <v>1</v>
      </c>
      <c r="F17" s="15" t="n">
        <v>25000</v>
      </c>
      <c r="G17" s="16" t="inlineStr">
        <is>
          <t>Endura working allowance</t>
        </is>
      </c>
      <c r="H17" s="4" t="inlineStr">
        <is>
          <t>Working input</t>
        </is>
      </c>
      <c r="I17" s="4" t="inlineStr">
        <is>
          <t>Replace with supplier quote where applicable</t>
        </is>
      </c>
      <c r="J17" s="14" t="n">
        <v>0.25</v>
      </c>
    </row>
    <row r="18">
      <c r="A18" s="4" t="inlineStr">
        <is>
          <t>R014</t>
        </is>
      </c>
      <c r="B18" s="4" t="inlineStr">
        <is>
          <t>Base maintenance, spares and campaign consumables</t>
        </is>
      </c>
      <c r="C18" s="4" t="inlineStr">
        <is>
          <t>Time</t>
        </is>
      </c>
      <c r="D18" s="4" t="inlineStr">
        <is>
          <t>week</t>
        </is>
      </c>
      <c r="E18" s="4" t="n">
        <v>1</v>
      </c>
      <c r="F18" s="15" t="n">
        <v>15000</v>
      </c>
      <c r="G18" s="16" t="inlineStr">
        <is>
          <t>Endura working allowance</t>
        </is>
      </c>
      <c r="H18" s="4" t="inlineStr">
        <is>
          <t>Working input</t>
        </is>
      </c>
      <c r="I18" s="4" t="inlineStr">
        <is>
          <t>Replace with supplier quote where applicable</t>
        </is>
      </c>
      <c r="J18" s="14" t="n">
        <v>0.25</v>
      </c>
    </row>
    <row r="19">
      <c r="A19" s="4" t="inlineStr">
        <is>
          <t>R015</t>
        </is>
      </c>
      <c r="B19" s="4" t="inlineStr">
        <is>
          <t>Platform set hire / ownership recovery</t>
        </is>
      </c>
      <c r="C19" s="4" t="inlineStr">
        <is>
          <t>Set-time</t>
        </is>
      </c>
      <c r="D19" s="4" t="inlineStr">
        <is>
          <t>set-week</t>
        </is>
      </c>
      <c r="E19" s="4" t="n">
        <v>1</v>
      </c>
      <c r="F19" s="15" t="n">
        <v>7500</v>
      </c>
      <c r="G19" s="16" t="inlineStr">
        <is>
          <t>Endura allowance pending GGC commercial quote</t>
        </is>
      </c>
      <c r="H19" s="4" t="inlineStr">
        <is>
          <t>Working input</t>
        </is>
      </c>
      <c r="I19" s="4" t="inlineStr">
        <is>
          <t>Replace with supplier quote where applicable</t>
        </is>
      </c>
      <c r="J19" s="14" t="n">
        <v>0.3</v>
      </c>
    </row>
    <row r="20">
      <c r="A20" s="4" t="inlineStr">
        <is>
          <t>R016</t>
        </is>
      </c>
      <c r="B20" s="4" t="inlineStr">
        <is>
          <t>Winch, rigging and temporary-works inspection / maintenance</t>
        </is>
      </c>
      <c r="C20" s="4" t="inlineStr">
        <is>
          <t>Set-time</t>
        </is>
      </c>
      <c r="D20" s="4" t="inlineStr">
        <is>
          <t>set-week</t>
        </is>
      </c>
      <c r="E20" s="4" t="n">
        <v>1</v>
      </c>
      <c r="F20" s="15" t="n">
        <v>2000</v>
      </c>
      <c r="G20" s="16" t="inlineStr">
        <is>
          <t>Endura working allowance</t>
        </is>
      </c>
      <c r="H20" s="4" t="inlineStr">
        <is>
          <t>Working input</t>
        </is>
      </c>
      <c r="I20" s="4" t="inlineStr">
        <is>
          <t>Replace with supplier quote where applicable</t>
        </is>
      </c>
      <c r="J20" s="14" t="n">
        <v>0.25</v>
      </c>
    </row>
    <row r="21">
      <c r="A21" s="4" t="inlineStr">
        <is>
          <t>R017</t>
        </is>
      </c>
      <c r="B21" s="4" t="inlineStr">
        <is>
          <t>Containment, extraction and vacuum-recovery plant</t>
        </is>
      </c>
      <c r="C21" s="4" t="inlineStr">
        <is>
          <t>Set-time</t>
        </is>
      </c>
      <c r="D21" s="4" t="inlineStr">
        <is>
          <t>set-week</t>
        </is>
      </c>
      <c r="E21" s="4" t="n">
        <v>1</v>
      </c>
      <c r="F21" s="15" t="n">
        <v>4000</v>
      </c>
      <c r="G21" s="16" t="inlineStr">
        <is>
          <t>Endura allowance pending supplier quote</t>
        </is>
      </c>
      <c r="H21" s="4" t="inlineStr">
        <is>
          <t>Working input</t>
        </is>
      </c>
      <c r="I21" s="4" t="inlineStr">
        <is>
          <t>Replace with supplier quote where applicable</t>
        </is>
      </c>
      <c r="J21" s="14" t="n">
        <v>0.3</v>
      </c>
    </row>
    <row r="22">
      <c r="A22" s="4" t="inlineStr">
        <is>
          <t>R018</t>
        </is>
      </c>
      <c r="B22" s="4" t="inlineStr">
        <is>
          <t>Weld repairs, including prep, fit, weld, NDT and ordinary rework</t>
        </is>
      </c>
      <c r="C22" s="4" t="inlineStr">
        <is>
          <t>Variable</t>
        </is>
      </c>
      <c r="D22" s="4" t="inlineStr">
        <is>
          <t>lm</t>
        </is>
      </c>
      <c r="E22" s="4" t="n">
        <v>52.55833333333334</v>
      </c>
      <c r="F22" s="15" t="n">
        <v>350</v>
      </c>
      <c r="G22" s="16" t="inlineStr">
        <is>
          <t>Endura working allowance</t>
        </is>
      </c>
      <c r="H22" s="4" t="inlineStr">
        <is>
          <t>Working input</t>
        </is>
      </c>
      <c r="I22" s="4" t="inlineStr">
        <is>
          <t>Replace with supplier quote where applicable</t>
        </is>
      </c>
      <c r="J22" s="14" t="n">
        <v>0.3</v>
      </c>
    </row>
    <row r="23">
      <c r="A23" s="4" t="inlineStr">
        <is>
          <t>R019</t>
        </is>
      </c>
      <c r="B23" s="4" t="inlineStr">
        <is>
          <t>Blast / coating production consumables and QA</t>
        </is>
      </c>
      <c r="C23" s="4" t="inlineStr">
        <is>
          <t>Variable</t>
        </is>
      </c>
      <c r="D23" s="4" t="inlineStr">
        <is>
          <t>bent</t>
        </is>
      </c>
      <c r="E23" s="4" t="n">
        <v>1</v>
      </c>
      <c r="F23" s="15" t="n">
        <v>8000</v>
      </c>
      <c r="G23" s="16" t="inlineStr">
        <is>
          <t>Endura working allowance</t>
        </is>
      </c>
      <c r="H23" s="4" t="inlineStr">
        <is>
          <t>Working input</t>
        </is>
      </c>
      <c r="I23" s="4" t="inlineStr">
        <is>
          <t>Replace with supplier quote where applicable</t>
        </is>
      </c>
      <c r="J23" s="14" t="n">
        <v>0.25</v>
      </c>
    </row>
    <row r="24">
      <c r="A24" s="4" t="inlineStr">
        <is>
          <t>R020</t>
        </is>
      </c>
      <c r="B24" s="4" t="inlineStr">
        <is>
          <t>Petrolatum jacket material and installation</t>
        </is>
      </c>
      <c r="C24" s="4" t="inlineStr">
        <is>
          <t>Variable</t>
        </is>
      </c>
      <c r="D24" s="4" t="inlineStr">
        <is>
          <t>bent</t>
        </is>
      </c>
      <c r="E24" s="4" t="n">
        <v>1</v>
      </c>
      <c r="F24" s="15" t="n">
        <v>5000</v>
      </c>
      <c r="G24" s="16" t="inlineStr">
        <is>
          <t>Endura working allowance</t>
        </is>
      </c>
      <c r="H24" s="4" t="inlineStr">
        <is>
          <t>Working input</t>
        </is>
      </c>
      <c r="I24" s="4" t="inlineStr">
        <is>
          <t>Replace with supplier quote where applicable</t>
        </is>
      </c>
      <c r="J24" s="14" t="n">
        <v>0.3</v>
      </c>
    </row>
    <row r="25">
      <c r="A25" s="4" t="inlineStr">
        <is>
          <t>R021</t>
        </is>
      </c>
      <c r="B25" s="4" t="inlineStr">
        <is>
          <t>Hazardous coating waste, transport and disposal</t>
        </is>
      </c>
      <c r="C25" s="4" t="inlineStr">
        <is>
          <t>Variable</t>
        </is>
      </c>
      <c r="D25" s="4" t="inlineStr">
        <is>
          <t>bent</t>
        </is>
      </c>
      <c r="E25" s="4" t="n">
        <v>1</v>
      </c>
      <c r="F25" s="15" t="n">
        <v>2000</v>
      </c>
      <c r="G25" s="16" t="inlineStr">
        <is>
          <t>Endura working allowance</t>
        </is>
      </c>
      <c r="H25" s="4" t="inlineStr">
        <is>
          <t>Working input</t>
        </is>
      </c>
      <c r="I25" s="4" t="inlineStr">
        <is>
          <t>Replace with supplier quote where applicable</t>
        </is>
      </c>
      <c r="J25" s="14" t="n">
        <v>0.35</v>
      </c>
    </row>
    <row r="26">
      <c r="A26" s="4" t="inlineStr">
        <is>
          <t>R022</t>
        </is>
      </c>
      <c r="B26" s="4" t="inlineStr">
        <is>
          <t>Digital QA dossier and closeout engineering</t>
        </is>
      </c>
      <c r="C26" s="4" t="inlineStr">
        <is>
          <t>Variable</t>
        </is>
      </c>
      <c r="D26" s="4" t="inlineStr">
        <is>
          <t>bent</t>
        </is>
      </c>
      <c r="E26" s="4" t="n">
        <v>1</v>
      </c>
      <c r="F26" s="15" t="n">
        <v>2000</v>
      </c>
      <c r="G26" s="16" t="inlineStr">
        <is>
          <t>Endura working allowance</t>
        </is>
      </c>
      <c r="H26" s="4" t="inlineStr">
        <is>
          <t>Working input</t>
        </is>
      </c>
      <c r="I26" s="4" t="inlineStr">
        <is>
          <t>Replace with supplier quote where applicable</t>
        </is>
      </c>
      <c r="J26" s="14" t="n">
        <v>0.2</v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5" customWidth="1" min="8" max="8"/>
    <col width="38" customWidth="1" min="9" max="9"/>
    <col width="36" customWidth="1" min="10" max="10"/>
  </cols>
  <sheetData>
    <row r="1" ht="28" customHeight="1">
      <c r="A1" s="1" t="inlineStr">
        <is>
          <t>Indicative Cost Build-up by Productivity Scenario</t>
        </is>
      </c>
    </row>
    <row r="2" ht="32" customHeight="1">
      <c r="A2" s="2" t="inlineStr">
        <is>
          <t>Working parametric estimate only. Current supplier rates are not commercially closed.</t>
        </is>
      </c>
    </row>
    <row r="3"/>
    <row r="4" ht="30" customHeight="1">
      <c r="A4" s="5" t="inlineStr">
        <is>
          <t>Cost category</t>
        </is>
      </c>
      <c r="B4" s="5" t="inlineStr">
        <is>
          <t>Basis</t>
        </is>
      </c>
      <c r="C4" s="5" t="inlineStr">
        <is>
          <t>S1</t>
        </is>
      </c>
      <c r="D4" s="5" t="inlineStr">
        <is>
          <t>S2</t>
        </is>
      </c>
      <c r="E4" s="5" t="inlineStr">
        <is>
          <t>S3</t>
        </is>
      </c>
      <c r="F4" s="5" t="inlineStr">
        <is>
          <t>S4</t>
        </is>
      </c>
      <c r="G4" s="5" t="inlineStr">
        <is>
          <t>Evidence status</t>
        </is>
      </c>
      <c r="H4" s="5" t="inlineStr">
        <is>
          <t>Sensitivity</t>
        </is>
      </c>
      <c r="I4" s="5" t="inlineStr">
        <is>
          <t>Current reference</t>
        </is>
      </c>
      <c r="J4" s="5" t="inlineStr">
        <is>
          <t>Comment</t>
        </is>
      </c>
    </row>
    <row r="5">
      <c r="A5" s="4" t="inlineStr">
        <is>
          <t>Fixed engineering, proving and assurance</t>
        </is>
      </c>
      <c r="B5" s="4" t="inlineStr">
        <is>
          <t>R001 + R007 + R008</t>
        </is>
      </c>
      <c r="C5" s="17" t="n">
        <v>1122500</v>
      </c>
      <c r="D5" s="17" t="n">
        <v>1122500</v>
      </c>
      <c r="E5" s="17" t="n">
        <v>1122500</v>
      </c>
      <c r="F5" s="17" t="n">
        <v>1122500</v>
      </c>
      <c r="G5" s="4" t="inlineStr">
        <is>
          <t>Allowance</t>
        </is>
      </c>
      <c r="H5" s="4" t="inlineStr">
        <is>
          <t>Medium</t>
        </is>
      </c>
      <c r="I5" s="4" t="inlineStr">
        <is>
          <t>n/a</t>
        </is>
      </c>
      <c r="J5" s="4" t="inlineStr">
        <is>
          <t>One campaign</t>
        </is>
      </c>
    </row>
    <row r="6">
      <c r="A6" s="4" t="inlineStr">
        <is>
          <t>Platform, winch, traversing deck and containment packages</t>
        </is>
      </c>
      <c r="B6" s="4" t="inlineStr">
        <is>
          <t>Sets × R002:R005</t>
        </is>
      </c>
      <c r="C6" s="17" t="n">
        <v>7480000</v>
      </c>
      <c r="D6" s="17" t="n">
        <v>6120000</v>
      </c>
      <c r="E6" s="17" t="n">
        <v>4760000</v>
      </c>
      <c r="F6" s="17" t="n">
        <v>4080000</v>
      </c>
      <c r="G6" s="4" t="inlineStr">
        <is>
          <t>Allowance</t>
        </is>
      </c>
      <c r="H6" s="4" t="inlineStr">
        <is>
          <t>High</t>
        </is>
      </c>
      <c r="I6" s="4" t="inlineStr">
        <is>
          <t>n/a</t>
        </is>
      </c>
      <c r="J6" s="4" t="inlineStr">
        <is>
          <t>Scales directly with set count</t>
        </is>
      </c>
    </row>
    <row r="7">
      <c r="A7" s="4" t="inlineStr">
        <is>
          <t>Marine mobilisation / demobilisation</t>
        </is>
      </c>
      <c r="B7" s="4" t="inlineStr">
        <is>
          <t>R006</t>
        </is>
      </c>
      <c r="C7" s="17" t="n">
        <v>1000000</v>
      </c>
      <c r="D7" s="17" t="n">
        <v>1000000</v>
      </c>
      <c r="E7" s="17" t="n">
        <v>1000000</v>
      </c>
      <c r="F7" s="17" t="n">
        <v>1000000</v>
      </c>
      <c r="G7" s="4" t="inlineStr">
        <is>
          <t>Allowance</t>
        </is>
      </c>
      <c r="H7" s="4" t="inlineStr">
        <is>
          <t>High</t>
        </is>
      </c>
      <c r="I7" s="4" t="inlineStr">
        <is>
          <t>n/a</t>
        </is>
      </c>
      <c r="J7" s="4" t="inlineStr">
        <is>
          <t>Candidate spread pending</t>
        </is>
      </c>
    </row>
    <row r="8">
      <c r="A8" s="4" t="inlineStr">
        <is>
          <t>Campaign time-related cost</t>
        </is>
      </c>
      <c r="B8" s="4" t="inlineStr">
        <is>
          <t>Campaign weeks × R009:R014</t>
        </is>
      </c>
      <c r="C8" s="17" t="n">
        <v>12225265.06238859</v>
      </c>
      <c r="D8" s="17" t="n">
        <v>12000486.05664488</v>
      </c>
      <c r="E8" s="17" t="n">
        <v>11318398.03921569</v>
      </c>
      <c r="F8" s="17" t="n">
        <v>11957855.55555556</v>
      </c>
      <c r="G8" s="4" t="inlineStr">
        <is>
          <t>Allowance</t>
        </is>
      </c>
      <c r="H8" s="4" t="inlineStr">
        <is>
          <t>High</t>
        </is>
      </c>
      <c r="I8" s="4" t="inlineStr">
        <is>
          <t>n/a</t>
        </is>
      </c>
      <c r="J8" s="4" t="inlineStr">
        <is>
          <t>Programme driver</t>
        </is>
      </c>
    </row>
    <row r="9">
      <c r="A9" s="4" t="inlineStr">
        <is>
          <t>Set-related weekly cost</t>
        </is>
      </c>
      <c r="B9" s="4" t="inlineStr">
        <is>
          <t>Weeks × sets × R015:R017</t>
        </is>
      </c>
      <c r="C9" s="17" t="n">
        <v>10889279.01960784</v>
      </c>
      <c r="D9" s="17" t="n">
        <v>8745597.843137255</v>
      </c>
      <c r="E9" s="17" t="n">
        <v>6415509.607843138</v>
      </c>
      <c r="F9" s="17" t="n">
        <v>5809686.666666667</v>
      </c>
      <c r="G9" s="4" t="inlineStr">
        <is>
          <t>Allowance</t>
        </is>
      </c>
      <c r="H9" s="4" t="inlineStr">
        <is>
          <t>High</t>
        </is>
      </c>
      <c r="I9" s="4" t="inlineStr">
        <is>
          <t>n/a</t>
        </is>
      </c>
      <c r="J9" s="4" t="inlineStr">
        <is>
          <t>Fleet-size driver</t>
        </is>
      </c>
    </row>
    <row r="10">
      <c r="A10" s="4" t="inlineStr">
        <is>
          <t>Weld production</t>
        </is>
      </c>
      <c r="B10" s="4" t="inlineStr">
        <is>
          <t>227 × 52.56 lm × R018</t>
        </is>
      </c>
      <c r="C10" s="17" t="n">
        <v>5428487.458333333</v>
      </c>
      <c r="D10" s="17" t="n">
        <v>5428487.458333333</v>
      </c>
      <c r="E10" s="17" t="n">
        <v>5428487.458333333</v>
      </c>
      <c r="F10" s="17" t="n">
        <v>5428487.458333333</v>
      </c>
      <c r="G10" s="4" t="inlineStr">
        <is>
          <t>Allowance</t>
        </is>
      </c>
      <c r="H10" s="4" t="inlineStr">
        <is>
          <t>High</t>
        </is>
      </c>
      <c r="I10" s="4" t="inlineStr">
        <is>
          <t>Rate-only baseline</t>
        </is>
      </c>
      <c r="J10" s="4" t="inlineStr">
        <is>
          <t>Repair quantity sensitive</t>
        </is>
      </c>
    </row>
    <row r="11">
      <c r="A11" s="4" t="inlineStr">
        <is>
          <t>Blast, coat, jackets, waste and QA</t>
        </is>
      </c>
      <c r="B11" s="4" t="inlineStr">
        <is>
          <t>227 × R019:R022</t>
        </is>
      </c>
      <c r="C11" s="17" t="n">
        <v>4903200</v>
      </c>
      <c r="D11" s="17" t="n">
        <v>4903200</v>
      </c>
      <c r="E11" s="17" t="n">
        <v>4903200</v>
      </c>
      <c r="F11" s="17" t="n">
        <v>4903200</v>
      </c>
      <c r="G11" s="4" t="inlineStr">
        <is>
          <t>Allowance</t>
        </is>
      </c>
      <c r="H11" s="4" t="inlineStr">
        <is>
          <t>Medium</t>
        </is>
      </c>
      <c r="I11" s="4" t="inlineStr">
        <is>
          <t>Current blast/coat contract line reference</t>
        </is>
      </c>
      <c r="J11" s="4" t="inlineStr">
        <is>
          <t>Scope sensitive</t>
        </is>
      </c>
    </row>
    <row r="12">
      <c r="A12" s="4" t="inlineStr">
        <is>
          <t>Subtotal before model contingency</t>
        </is>
      </c>
      <c r="B12" s="4" t="inlineStr">
        <is>
          <t>Sum above</t>
        </is>
      </c>
      <c r="C12" s="17" t="n">
        <v>43048731.54032977</v>
      </c>
      <c r="D12" s="17" t="n">
        <v>39320271.35811547</v>
      </c>
      <c r="E12" s="17" t="n">
        <v>34948095.10539216</v>
      </c>
      <c r="F12" s="17" t="n">
        <v>34301729.68055555</v>
      </c>
      <c r="G12" s="4" t="inlineStr">
        <is>
          <t>Formula</t>
        </is>
      </c>
      <c r="H12" s="4" t="inlineStr"/>
      <c r="I12" s="4" t="inlineStr">
        <is>
          <t>Current access basis + tooling ~AUD 9.275M</t>
        </is>
      </c>
      <c r="J12" s="4" t="inlineStr">
        <is>
          <t>Not like-for-like</t>
        </is>
      </c>
    </row>
    <row r="13">
      <c r="A13" s="4" t="inlineStr">
        <is>
          <t>Model contingency</t>
        </is>
      </c>
      <c r="B13" s="4" t="inlineStr">
        <is>
          <t>20%</t>
        </is>
      </c>
      <c r="C13" s="17" t="n">
        <v>8609746.308065955</v>
      </c>
      <c r="D13" s="17" t="n">
        <v>7864054.271623095</v>
      </c>
      <c r="E13" s="17" t="n">
        <v>6989619.021078432</v>
      </c>
      <c r="F13" s="17" t="n">
        <v>6860345.936111111</v>
      </c>
      <c r="G13" s="4" t="inlineStr">
        <is>
          <t>Formula</t>
        </is>
      </c>
      <c r="H13" s="4" t="inlineStr">
        <is>
          <t>High</t>
        </is>
      </c>
      <c r="I13" s="4" t="inlineStr">
        <is>
          <t>n/a</t>
        </is>
      </c>
      <c r="J13" s="4" t="inlineStr">
        <is>
          <t>Concept maturity</t>
        </is>
      </c>
    </row>
    <row r="14">
      <c r="A14" s="18" t="inlineStr">
        <is>
          <t>Indicative campaign total</t>
        </is>
      </c>
      <c r="B14" s="18" t="inlineStr">
        <is>
          <t>Subtotal + contingency</t>
        </is>
      </c>
      <c r="C14" s="19" t="n">
        <v>51658477.84839572</v>
      </c>
      <c r="D14" s="19" t="n">
        <v>47184325.62973857</v>
      </c>
      <c r="E14" s="19" t="n">
        <v>41937714.12647059</v>
      </c>
      <c r="F14" s="19" t="n">
        <v>41162075.61666666</v>
      </c>
      <c r="G14" s="18" t="inlineStr">
        <is>
          <t>Formula</t>
        </is>
      </c>
      <c r="H14" s="18" t="inlineStr"/>
      <c r="I14" s="18" t="inlineStr">
        <is>
          <t>n/a</t>
        </is>
      </c>
      <c r="J14" s="18" t="inlineStr">
        <is>
          <t>Not a quotation</t>
        </is>
      </c>
    </row>
    <row r="15">
      <c r="A15" s="18" t="inlineStr">
        <is>
          <t>Indicative cost per stress-case bent</t>
        </is>
      </c>
      <c r="B15" s="18" t="inlineStr">
        <is>
          <t>Total / 227</t>
        </is>
      </c>
      <c r="C15" s="19" t="n">
        <v>227570.386997338</v>
      </c>
      <c r="D15" s="19" t="n">
        <v>207860.4653292448</v>
      </c>
      <c r="E15" s="19" t="n">
        <v>184747.639323659</v>
      </c>
      <c r="F15" s="19" t="n">
        <v>181330.7295888399</v>
      </c>
      <c r="G15" s="18" t="inlineStr">
        <is>
          <t>Formula</t>
        </is>
      </c>
      <c r="H15" s="18" t="inlineStr"/>
      <c r="I15" s="18" t="inlineStr">
        <is>
          <t>Current access basis ~AUD 39k / firm bent</t>
        </is>
      </c>
      <c r="J15" s="18" t="inlineStr">
        <is>
          <t>Different scope basis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22" customWidth="1" min="5" max="5"/>
    <col width="30" customWidth="1" min="6" max="6"/>
    <col width="18" customWidth="1" min="7" max="7"/>
    <col width="22" customWidth="1" min="8" max="8"/>
    <col width="48" customWidth="1" min="9" max="9"/>
    <col width="40" customWidth="1" min="10" max="10"/>
  </cols>
  <sheetData>
    <row r="1" ht="28" customHeight="1">
      <c r="A1" s="1" t="inlineStr">
        <is>
          <t>Indicative Implementation Programme</t>
        </is>
      </c>
    </row>
    <row r="2" ht="32" customHeight="1">
      <c r="A2" s="2" t="inlineStr">
        <is>
          <t>Known calendar blocks are explicit. A dated bent-level line of balance remains a gate.</t>
        </is>
      </c>
    </row>
    <row r="3"/>
    <row r="4" ht="30" customHeight="1">
      <c r="A4" s="5" t="inlineStr">
        <is>
          <t>Phase</t>
        </is>
      </c>
      <c r="B4" s="5" t="inlineStr">
        <is>
          <t>Start</t>
        </is>
      </c>
      <c r="C4" s="5" t="inlineStr">
        <is>
          <t>Finish</t>
        </is>
      </c>
      <c r="D4" s="5" t="inlineStr">
        <is>
          <t>Calendar days</t>
        </is>
      </c>
      <c r="E4" s="5" t="inlineStr">
        <is>
          <t>Production effect</t>
        </is>
      </c>
      <c r="F4" s="5" t="inlineStr">
        <is>
          <t>Basis</t>
        </is>
      </c>
      <c r="G4" s="5" t="inlineStr">
        <is>
          <t>Status</t>
        </is>
      </c>
      <c r="H4" s="5" t="inlineStr">
        <is>
          <t>Owner</t>
        </is>
      </c>
      <c r="I4" s="5" t="inlineStr">
        <is>
          <t>Required output</t>
        </is>
      </c>
      <c r="J4" s="5" t="inlineStr">
        <is>
          <t>Notes</t>
        </is>
      </c>
    </row>
    <row r="5">
      <c r="A5" s="4" t="inlineStr">
        <is>
          <t>Supplier development and concept design</t>
        </is>
      </c>
      <c r="B5" s="11" t="n">
        <v>46266</v>
      </c>
      <c r="C5" s="11" t="n">
        <v>46356</v>
      </c>
      <c r="D5" s="4" t="n">
        <v>91</v>
      </c>
      <c r="E5" s="4" t="inlineStr">
        <is>
          <t>No production</t>
        </is>
      </c>
      <c r="F5" s="4" t="inlineStr">
        <is>
          <t>Stage 1 roadmap</t>
        </is>
      </c>
      <c r="G5" s="4" t="inlineStr">
        <is>
          <t>Assumption</t>
        </is>
      </c>
      <c r="H5" s="4" t="inlineStr">
        <is>
          <t>STL/Endura</t>
        </is>
      </c>
      <c r="I5" s="4" t="inlineStr">
        <is>
          <t>Selected system and design basis</t>
        </is>
      </c>
      <c r="J5" s="4" t="inlineStr">
        <is>
          <t>Supplier data/RFIs</t>
        </is>
      </c>
    </row>
    <row r="6">
      <c r="A6" s="4" t="inlineStr">
        <is>
          <t>RPEQ temporary works and independent check</t>
        </is>
      </c>
      <c r="B6" s="11" t="n">
        <v>46296</v>
      </c>
      <c r="C6" s="11" t="n">
        <v>46418</v>
      </c>
      <c r="D6" s="4" t="n">
        <v>123</v>
      </c>
      <c r="E6" s="4" t="inlineStr">
        <is>
          <t>No production</t>
        </is>
      </c>
      <c r="F6" s="4" t="inlineStr">
        <is>
          <t>Concept roadmap</t>
        </is>
      </c>
      <c r="G6" s="4" t="inlineStr">
        <is>
          <t>Assumption</t>
        </is>
      </c>
      <c r="H6" s="4" t="inlineStr">
        <is>
          <t>Delivery contractor</t>
        </is>
      </c>
      <c r="I6" s="4" t="inlineStr">
        <is>
          <t>Certified platform/suspension/access designs</t>
        </is>
      </c>
      <c r="J6" s="4" t="inlineStr">
        <is>
          <t>Can overlap procurement</t>
        </is>
      </c>
    </row>
    <row r="7">
      <c r="A7" s="4" t="inlineStr">
        <is>
          <t>Fabrication / modification / FAT</t>
        </is>
      </c>
      <c r="B7" s="11" t="n">
        <v>46327</v>
      </c>
      <c r="C7" s="11" t="n">
        <v>46446</v>
      </c>
      <c r="D7" s="4" t="n">
        <v>120</v>
      </c>
      <c r="E7" s="4" t="inlineStr">
        <is>
          <t>No production</t>
        </is>
      </c>
      <c r="F7" s="4" t="inlineStr">
        <is>
          <t>Concept roadmap</t>
        </is>
      </c>
      <c r="G7" s="4" t="inlineStr">
        <is>
          <t>Assumption</t>
        </is>
      </c>
      <c r="H7" s="4" t="inlineStr">
        <is>
          <t>Supplier</t>
        </is>
      </c>
      <c r="I7" s="4" t="inlineStr">
        <is>
          <t>Completed sets and FAT records</t>
        </is>
      </c>
      <c r="J7" s="4" t="inlineStr">
        <is>
          <t>Lead time to confirm</t>
        </is>
      </c>
    </row>
    <row r="8">
      <c r="A8" s="4" t="inlineStr">
        <is>
          <t>Mobilisation and site establishment</t>
        </is>
      </c>
      <c r="B8" s="11" t="n">
        <v>46447</v>
      </c>
      <c r="C8" s="11" t="n">
        <v>46474</v>
      </c>
      <c r="D8" s="4" t="n">
        <v>28</v>
      </c>
      <c r="E8" s="4" t="inlineStr">
        <is>
          <t>Ramp-up</t>
        </is>
      </c>
      <c r="F8" s="4" t="inlineStr">
        <is>
          <t>Concept roadmap</t>
        </is>
      </c>
      <c r="G8" s="4" t="inlineStr">
        <is>
          <t>Assumption</t>
        </is>
      </c>
      <c r="H8" s="4" t="inlineStr">
        <is>
          <t>Contractor</t>
        </is>
      </c>
      <c r="I8" s="4" t="inlineStr">
        <is>
          <t>JUB/workboat/sets established</t>
        </is>
      </c>
      <c r="J8" s="4" t="inlineStr">
        <is>
          <t>Subject to marine availability</t>
        </is>
      </c>
    </row>
    <row r="9">
      <c r="A9" s="4" t="inlineStr">
        <is>
          <t>Proving campaign</t>
        </is>
      </c>
      <c r="B9" s="11" t="n">
        <v>46475</v>
      </c>
      <c r="C9" s="11" t="n">
        <v>46502</v>
      </c>
      <c r="D9" s="4" t="n">
        <v>28</v>
      </c>
      <c r="E9" s="4" t="inlineStr">
        <is>
          <t>Restricted production</t>
        </is>
      </c>
      <c r="F9" s="4" t="inlineStr">
        <is>
          <t>Acceptance-gate basis</t>
        </is>
      </c>
      <c r="G9" s="4" t="inlineStr">
        <is>
          <t>Assumption</t>
        </is>
      </c>
      <c r="H9" s="4" t="inlineStr">
        <is>
          <t>Contractor/STL</t>
        </is>
      </c>
      <c r="I9" s="4" t="inlineStr">
        <is>
          <t>Measured cycles and frozen model</t>
        </is>
      </c>
      <c r="J9" s="4" t="inlineStr">
        <is>
          <t>Recommended first 3-5 representative bents</t>
        </is>
      </c>
    </row>
    <row r="10">
      <c r="A10" s="4" t="inlineStr">
        <is>
          <t>2027 production season</t>
        </is>
      </c>
      <c r="B10" s="11" t="n">
        <v>46503</v>
      </c>
      <c r="C10" s="11" t="n">
        <v>46721</v>
      </c>
      <c r="D10" s="4" t="n">
        <v>219</v>
      </c>
      <c r="E10" s="4" t="inlineStr">
        <is>
          <t>Production</t>
        </is>
      </c>
      <c r="F10" s="4" t="inlineStr">
        <is>
          <t>Dry-season basis</t>
        </is>
      </c>
      <c r="G10" s="4" t="inlineStr">
        <is>
          <t>Assumption</t>
        </is>
      </c>
      <c r="H10" s="4" t="inlineStr">
        <is>
          <t>Contractor</t>
        </is>
      </c>
      <c r="I10" s="4" t="inlineStr">
        <is>
          <t>Line-of-balance production</t>
        </is>
      </c>
      <c r="J10" s="4" t="inlineStr">
        <is>
          <t>Known outages/ship calls inserted later</t>
        </is>
      </c>
    </row>
    <row r="11">
      <c r="A11" s="4" t="inlineStr">
        <is>
          <t>Wet-season demobilisation</t>
        </is>
      </c>
      <c r="B11" s="11" t="n">
        <v>46722</v>
      </c>
      <c r="C11" s="11" t="n">
        <v>46827</v>
      </c>
      <c r="D11" s="4" t="n">
        <v>106</v>
      </c>
      <c r="E11" s="4" t="inlineStr">
        <is>
          <t>No production</t>
        </is>
      </c>
      <c r="F11" s="4" t="inlineStr">
        <is>
          <t>Client basis</t>
        </is>
      </c>
      <c r="G11" s="4" t="inlineStr">
        <is>
          <t>Client-provided</t>
        </is>
      </c>
      <c r="H11" s="4" t="inlineStr">
        <is>
          <t>Contractor</t>
        </is>
      </c>
      <c r="I11" s="4" t="inlineStr">
        <is>
          <t>Fleet recovered/refurbished</t>
        </is>
      </c>
      <c r="J11" s="4" t="inlineStr">
        <is>
          <t>Cyclone plan required</t>
        </is>
      </c>
    </row>
    <row r="12">
      <c r="A12" s="4" t="inlineStr">
        <is>
          <t>2028 remobilisation</t>
        </is>
      </c>
      <c r="B12" s="11" t="n">
        <v>46828</v>
      </c>
      <c r="C12" s="11" t="n">
        <v>46848</v>
      </c>
      <c r="D12" s="4" t="n">
        <v>21</v>
      </c>
      <c r="E12" s="4" t="inlineStr">
        <is>
          <t>Ramp-up</t>
        </is>
      </c>
      <c r="F12" s="4" t="inlineStr">
        <is>
          <t>Working allowance</t>
        </is>
      </c>
      <c r="G12" s="4" t="inlineStr">
        <is>
          <t>Assumption</t>
        </is>
      </c>
      <c r="H12" s="4" t="inlineStr">
        <is>
          <t>Contractor</t>
        </is>
      </c>
      <c r="I12" s="4" t="inlineStr">
        <is>
          <t>Re-established fronts</t>
        </is>
      </c>
      <c r="J12" s="4" t="inlineStr"/>
    </row>
    <row r="13">
      <c r="A13" s="4" t="inlineStr">
        <is>
          <t>2028 production season</t>
        </is>
      </c>
      <c r="B13" s="11" t="n">
        <v>46849</v>
      </c>
      <c r="C13" s="11" t="n">
        <v>47087</v>
      </c>
      <c r="D13" s="4" t="n">
        <v>239</v>
      </c>
      <c r="E13" s="4" t="inlineStr">
        <is>
          <t>Production</t>
        </is>
      </c>
      <c r="F13" s="4" t="inlineStr">
        <is>
          <t>Dry-season basis</t>
        </is>
      </c>
      <c r="G13" s="4" t="inlineStr">
        <is>
          <t>Assumption</t>
        </is>
      </c>
      <c r="H13" s="4" t="inlineStr">
        <is>
          <t>Contractor</t>
        </is>
      </c>
      <c r="I13" s="4" t="inlineStr">
        <is>
          <t>Priority works complete</t>
        </is>
      </c>
      <c r="J13" s="4" t="inlineStr">
        <is>
          <t>Target subject to register</t>
        </is>
      </c>
    </row>
    <row r="14"/>
    <row r="15" ht="22" customHeight="1">
      <c r="A15" s="10" t="inlineStr">
        <is>
          <t>Scenario capacity before missing work and dated losses</t>
        </is>
      </c>
    </row>
    <row r="16" ht="30" customHeight="1">
      <c r="A16" s="5" t="inlineStr">
        <is>
          <t>Scenario</t>
        </is>
      </c>
      <c r="B16" s="5" t="inlineStr">
        <is>
          <t>Rate/week</t>
        </is>
      </c>
      <c r="C16" s="5" t="inlineStr">
        <is>
          <t>Nominal weeks</t>
        </is>
      </c>
      <c r="D16" s="5" t="inlineStr">
        <is>
          <t>Nominal capacity</t>
        </is>
      </c>
      <c r="E16" s="5" t="inlineStr">
        <is>
          <t>Stress quantity</t>
        </is>
      </c>
      <c r="F16" s="5" t="inlineStr">
        <is>
          <t>Margin</t>
        </is>
      </c>
      <c r="G16" s="5" t="inlineStr">
        <is>
          <t>Assurance note</t>
        </is>
      </c>
    </row>
    <row r="17">
      <c r="A17" s="4" t="inlineStr">
        <is>
          <t>S1</t>
        </is>
      </c>
      <c r="B17" s="9" t="n">
        <v>4.001426533523538</v>
      </c>
      <c r="C17" s="9" t="n">
        <v>60</v>
      </c>
      <c r="D17" s="9" t="n">
        <v>240.0855920114123</v>
      </c>
      <c r="E17" s="9" t="n">
        <v>227</v>
      </c>
      <c r="F17" s="9" t="n">
        <v>13.08559201141227</v>
      </c>
      <c r="G17" s="4" t="inlineStr">
        <is>
          <t>Before unmodelled activities and explicit calendar losses</t>
        </is>
      </c>
    </row>
    <row r="18">
      <c r="A18" s="4" t="inlineStr">
        <is>
          <t>S2</t>
        </is>
      </c>
      <c r="B18" s="9" t="n">
        <v>4.076376554174067</v>
      </c>
      <c r="C18" s="9" t="n">
        <v>60</v>
      </c>
      <c r="D18" s="9" t="n">
        <v>244.582593250444</v>
      </c>
      <c r="E18" s="9" t="n">
        <v>227</v>
      </c>
      <c r="F18" s="9" t="n">
        <v>17.58259325044403</v>
      </c>
      <c r="G18" s="4" t="inlineStr">
        <is>
          <t>Before unmodelled activities and explicit calendar losses</t>
        </is>
      </c>
    </row>
    <row r="19">
      <c r="A19" s="4" t="inlineStr">
        <is>
          <t>S3</t>
        </is>
      </c>
      <c r="B19" s="9" t="n">
        <v>4.322033898305085</v>
      </c>
      <c r="C19" s="9" t="n">
        <v>60</v>
      </c>
      <c r="D19" s="9" t="n">
        <v>259.3220338983051</v>
      </c>
      <c r="E19" s="9" t="n">
        <v>227</v>
      </c>
      <c r="F19" s="9" t="n">
        <v>32.32203389830511</v>
      </c>
      <c r="G19" s="4" t="inlineStr">
        <is>
          <t>Before unmodelled activities and explicit calendar losses</t>
        </is>
      </c>
    </row>
    <row r="20">
      <c r="A20" s="4" t="inlineStr">
        <is>
          <t>S4</t>
        </is>
      </c>
      <c r="B20" s="9" t="n">
        <v>4.090909090909091</v>
      </c>
      <c r="C20" s="9" t="n">
        <v>60</v>
      </c>
      <c r="D20" s="9" t="n">
        <v>245.4545454545454</v>
      </c>
      <c r="E20" s="9" t="n">
        <v>227</v>
      </c>
      <c r="F20" s="9" t="n">
        <v>18.45454545454544</v>
      </c>
      <c r="G20" s="4" t="inlineStr">
        <is>
          <t>Before unmodelled activities and explicit calendar losses</t>
        </is>
      </c>
    </row>
  </sheetData>
  <mergeCells count="3">
    <mergeCell ref="A2:L2"/>
    <mergeCell ref="A1:L1"/>
    <mergeCell ref="A15:G15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8" customWidth="1" min="4" max="4"/>
    <col width="20" customWidth="1" min="5" max="5"/>
    <col width="24" customWidth="1" min="6" max="6"/>
    <col width="18" customWidth="1" min="7" max="7"/>
    <col width="18" customWidth="1" min="8" max="8"/>
    <col width="55" customWidth="1" min="9" max="9"/>
    <col width="15" customWidth="1" min="10" max="10"/>
  </cols>
  <sheetData>
    <row r="1" ht="28" customHeight="1">
      <c r="A1" s="1" t="inlineStr">
        <is>
          <t>Multi-Criteria Assessment</t>
        </is>
      </c>
    </row>
    <row r="2" ht="32" customHeight="1">
      <c r="A2" s="2" t="inlineStr">
        <is>
          <t>Concept-stage scores for workshop discussion. Scores are not a substitute for supplier evidence.</t>
        </is>
      </c>
    </row>
    <row r="3"/>
    <row r="4" ht="30" customHeight="1">
      <c r="A4" s="5" t="inlineStr">
        <is>
          <t>Criterion</t>
        </is>
      </c>
      <c r="B4" s="5" t="inlineStr">
        <is>
          <t>Weight</t>
        </is>
      </c>
      <c r="C4" s="5" t="inlineStr">
        <is>
          <t>Current scaffold</t>
        </is>
      </c>
      <c r="D4" s="5" t="inlineStr">
        <is>
          <t>JUB direct workface</t>
        </is>
      </c>
      <c r="E4" s="5" t="inlineStr">
        <is>
          <t>Modular/spud pontoon</t>
        </is>
      </c>
      <c r="F4" s="5" t="inlineStr">
        <is>
          <t>Suspended floating platforms + JUB</t>
        </is>
      </c>
      <c r="G4" s="5" t="inlineStr">
        <is>
          <t>Marine rope access</t>
        </is>
      </c>
      <c r="H4" s="5" t="inlineStr">
        <is>
          <t>Hybrid</t>
        </is>
      </c>
      <c r="I4" s="5" t="inlineStr">
        <is>
          <t>Rationale</t>
        </is>
      </c>
      <c r="J4" s="5" t="inlineStr">
        <is>
          <t>Maturity</t>
        </is>
      </c>
    </row>
    <row r="5">
      <c r="A5" s="4" t="inlineStr">
        <is>
          <t>Productivity / scalability</t>
        </is>
      </c>
      <c r="B5" s="14" t="n">
        <v>0.2</v>
      </c>
      <c r="C5" s="4" t="n">
        <v>2</v>
      </c>
      <c r="D5" s="4" t="n">
        <v>3</v>
      </c>
      <c r="E5" s="4" t="n">
        <v>3</v>
      </c>
      <c r="F5" s="4" t="n">
        <v>4</v>
      </c>
      <c r="G5" s="4" t="n">
        <v>2</v>
      </c>
      <c r="H5" s="4" t="n">
        <v>4</v>
      </c>
      <c r="I5" s="4" t="inlineStr">
        <is>
          <t>Serial scaffold cycle versus reusable/multiple fronts</t>
        </is>
      </c>
      <c r="J5" s="4" t="inlineStr">
        <is>
          <t>Concept</t>
        </is>
      </c>
    </row>
    <row r="6">
      <c r="A6" s="4" t="inlineStr">
        <is>
          <t>Weather resilience</t>
        </is>
      </c>
      <c r="B6" s="14" t="n">
        <v>0.1</v>
      </c>
      <c r="C6" s="4" t="n">
        <v>2</v>
      </c>
      <c r="D6" s="4" t="n">
        <v>4</v>
      </c>
      <c r="E6" s="4" t="n">
        <v>2</v>
      </c>
      <c r="F6" s="4" t="n">
        <v>4</v>
      </c>
      <c r="G6" s="4" t="n">
        <v>1</v>
      </c>
      <c r="H6" s="4" t="n">
        <v>4</v>
      </c>
      <c r="I6" s="4" t="inlineStr">
        <is>
          <t>Lifted deck reduces direct tide/heave exposure; wind remains</t>
        </is>
      </c>
      <c r="J6" s="4" t="inlineStr">
        <is>
          <t>Concept</t>
        </is>
      </c>
    </row>
    <row r="7">
      <c r="A7" s="4" t="inlineStr">
        <is>
          <t>Tide independence</t>
        </is>
      </c>
      <c r="B7" s="14" t="n">
        <v>0.08</v>
      </c>
      <c r="C7" s="4" t="n">
        <v>1</v>
      </c>
      <c r="D7" s="4" t="n">
        <v>5</v>
      </c>
      <c r="E7" s="4" t="n">
        <v>2</v>
      </c>
      <c r="F7" s="4" t="n">
        <v>4</v>
      </c>
      <c r="G7" s="4" t="n">
        <v>1</v>
      </c>
      <c r="H7" s="4" t="n">
        <v>4</v>
      </c>
      <c r="I7" s="4" t="inlineStr">
        <is>
          <t>Below-LAT scope remains dependent</t>
        </is>
      </c>
      <c r="J7" s="4" t="inlineStr">
        <is>
          <t>Concept</t>
        </is>
      </c>
    </row>
    <row r="8">
      <c r="A8" s="4" t="inlineStr">
        <is>
          <t>Environmental containment</t>
        </is>
      </c>
      <c r="B8" s="14" t="n">
        <v>0.12</v>
      </c>
      <c r="C8" s="4" t="n">
        <v>3</v>
      </c>
      <c r="D8" s="4" t="n">
        <v>4</v>
      </c>
      <c r="E8" s="4" t="n">
        <v>3</v>
      </c>
      <c r="F8" s="4" t="n">
        <v>4</v>
      </c>
      <c r="G8" s="4" t="n">
        <v>2</v>
      </c>
      <c r="H8" s="4" t="n">
        <v>4</v>
      </c>
      <c r="I8" s="4" t="inlineStr">
        <is>
          <t>Reusable local containment requires proving</t>
        </is>
      </c>
      <c r="J8" s="4" t="inlineStr">
        <is>
          <t>Concept</t>
        </is>
      </c>
    </row>
    <row r="9">
      <c r="A9" s="4" t="inlineStr">
        <is>
          <t>Structural / seabed interfaces</t>
        </is>
      </c>
      <c r="B9" s="14" t="n">
        <v>0.08</v>
      </c>
      <c r="C9" s="4" t="n">
        <v>3</v>
      </c>
      <c r="D9" s="4" t="n">
        <v>1</v>
      </c>
      <c r="E9" s="4" t="n">
        <v>4</v>
      </c>
      <c r="F9" s="4" t="n">
        <v>2</v>
      </c>
      <c r="G9" s="4" t="n">
        <v>4</v>
      </c>
      <c r="H9" s="4" t="n">
        <v>3</v>
      </c>
      <c r="I9" s="4" t="inlineStr">
        <is>
          <t>Hung points need RPEQ; JUB needs bathymetry/seabed</t>
        </is>
      </c>
      <c r="J9" s="4" t="inlineStr">
        <is>
          <t>Concept</t>
        </is>
      </c>
    </row>
    <row r="10">
      <c r="A10" s="4" t="inlineStr">
        <is>
          <t>Roadway / terminal interference</t>
        </is>
      </c>
      <c r="B10" s="14" t="n">
        <v>0.1</v>
      </c>
      <c r="C10" s="4" t="n">
        <v>1</v>
      </c>
      <c r="D10" s="4" t="n">
        <v>4</v>
      </c>
      <c r="E10" s="4" t="n">
        <v>4</v>
      </c>
      <c r="F10" s="4" t="n">
        <v>4</v>
      </c>
      <c r="G10" s="4" t="n">
        <v>4</v>
      </c>
      <c r="H10" s="4" t="n">
        <v>4</v>
      </c>
      <c r="I10" s="4" t="inlineStr">
        <is>
          <t>Marine logistics removes bulk supply from single lane</t>
        </is>
      </c>
      <c r="J10" s="4" t="inlineStr">
        <is>
          <t>Concept</t>
        </is>
      </c>
    </row>
    <row r="11">
      <c r="A11" s="4" t="inlineStr">
        <is>
          <t>Shipping make-safe</t>
        </is>
      </c>
      <c r="B11" s="14" t="n">
        <v>0.07000000000000001</v>
      </c>
      <c r="C11" s="4" t="n">
        <v>3</v>
      </c>
      <c r="D11" s="4" t="n">
        <v>2</v>
      </c>
      <c r="E11" s="4" t="n">
        <v>3</v>
      </c>
      <c r="F11" s="4" t="n">
        <v>3</v>
      </c>
      <c r="G11" s="4" t="n">
        <v>4</v>
      </c>
      <c r="H11" s="4" t="n">
        <v>3</v>
      </c>
      <c r="I11" s="4" t="inlineStr">
        <is>
          <t>All methods require defined response</t>
        </is>
      </c>
      <c r="J11" s="4" t="inlineStr">
        <is>
          <t>Concept</t>
        </is>
      </c>
    </row>
    <row r="12">
      <c r="A12" s="4" t="inlineStr">
        <is>
          <t>Cyclone recovery</t>
        </is>
      </c>
      <c r="B12" s="14" t="n">
        <v>0.08</v>
      </c>
      <c r="C12" s="4" t="n">
        <v>3</v>
      </c>
      <c r="D12" s="4" t="n">
        <v>1</v>
      </c>
      <c r="E12" s="4" t="n">
        <v>3</v>
      </c>
      <c r="F12" s="4" t="n">
        <v>2</v>
      </c>
      <c r="G12" s="4" t="n">
        <v>4</v>
      </c>
      <c r="H12" s="4" t="n">
        <v>3</v>
      </c>
      <c r="I12" s="4" t="inlineStr">
        <is>
          <t>Full spread recovery remains a gate</t>
        </is>
      </c>
      <c r="J12" s="4" t="inlineStr">
        <is>
          <t>Concept</t>
        </is>
      </c>
    </row>
    <row r="13">
      <c r="A13" s="4" t="inlineStr">
        <is>
          <t>Safety in design / rescue</t>
        </is>
      </c>
      <c r="B13" s="14" t="n">
        <v>0.07000000000000001</v>
      </c>
      <c r="C13" s="4" t="n">
        <v>3</v>
      </c>
      <c r="D13" s="4" t="n">
        <v>4</v>
      </c>
      <c r="E13" s="4" t="n">
        <v>3</v>
      </c>
      <c r="F13" s="4" t="n">
        <v>2</v>
      </c>
      <c r="G13" s="4" t="n">
        <v>2</v>
      </c>
      <c r="H13" s="4" t="n">
        <v>3</v>
      </c>
      <c r="I13" s="4" t="inlineStr">
        <is>
          <t>Suspended access/rescue not demonstrated at all levels</t>
        </is>
      </c>
      <c r="J13" s="4" t="inlineStr">
        <is>
          <t>Concept</t>
        </is>
      </c>
    </row>
    <row r="14">
      <c r="A14" s="4" t="inlineStr">
        <is>
          <t>Mobilisation / availability</t>
        </is>
      </c>
      <c r="B14" s="14" t="n">
        <v>0.05</v>
      </c>
      <c r="C14" s="4" t="n">
        <v>4</v>
      </c>
      <c r="D14" s="4" t="n">
        <v>1</v>
      </c>
      <c r="E14" s="4" t="n">
        <v>3</v>
      </c>
      <c r="F14" s="4" t="n">
        <v>3</v>
      </c>
      <c r="G14" s="4" t="n">
        <v>4</v>
      </c>
      <c r="H14" s="4" t="n">
        <v>3</v>
      </c>
      <c r="I14" s="4" t="inlineStr">
        <is>
          <t>JUB and bespoke containment lead times</t>
        </is>
      </c>
      <c r="J14" s="4" t="inlineStr">
        <is>
          <t>Concept</t>
        </is>
      </c>
    </row>
    <row r="15">
      <c r="A15" s="4" t="inlineStr">
        <is>
          <t>Cost confidence</t>
        </is>
      </c>
      <c r="B15" s="14" t="n">
        <v>0.03</v>
      </c>
      <c r="C15" s="4" t="n">
        <v>4</v>
      </c>
      <c r="D15" s="4" t="n">
        <v>1</v>
      </c>
      <c r="E15" s="4" t="n">
        <v>2</v>
      </c>
      <c r="F15" s="4" t="n">
        <v>1</v>
      </c>
      <c r="G15" s="4" t="n">
        <v>3</v>
      </c>
      <c r="H15" s="4" t="n">
        <v>2</v>
      </c>
      <c r="I15" s="4" t="inlineStr">
        <is>
          <t>Supplier quotations incomplete</t>
        </is>
      </c>
      <c r="J15" s="4" t="inlineStr">
        <is>
          <t>Concept</t>
        </is>
      </c>
    </row>
    <row r="16">
      <c r="A16" s="4" t="inlineStr">
        <is>
          <t>Approvals / insurance</t>
        </is>
      </c>
      <c r="B16" s="14" t="n">
        <v>0.02</v>
      </c>
      <c r="C16" s="4" t="n">
        <v>4</v>
      </c>
      <c r="D16" s="4" t="n">
        <v>1</v>
      </c>
      <c r="E16" s="4" t="n">
        <v>2</v>
      </c>
      <c r="F16" s="4" t="n">
        <v>2</v>
      </c>
      <c r="G16" s="4" t="n">
        <v>3</v>
      </c>
      <c r="H16" s="4" t="n">
        <v>3</v>
      </c>
      <c r="I16" s="4" t="inlineStr">
        <is>
          <t>Marine methods need regulator/insurance positions</t>
        </is>
      </c>
      <c r="J16" s="4" t="inlineStr">
        <is>
          <t>Concept</t>
        </is>
      </c>
    </row>
    <row r="17"/>
    <row r="18" ht="22" customHeight="1">
      <c r="A18" s="10" t="inlineStr">
        <is>
          <t>Weighted scores</t>
        </is>
      </c>
    </row>
    <row r="19">
      <c r="B19" s="20" t="inlineStr">
        <is>
          <t>Current scaffold</t>
        </is>
      </c>
      <c r="C19" s="20" t="inlineStr">
        <is>
          <t>JUB direct</t>
        </is>
      </c>
      <c r="D19" s="20" t="inlineStr">
        <is>
          <t>Modular pontoon</t>
        </is>
      </c>
      <c r="E19" s="20" t="inlineStr">
        <is>
          <t>Suspended + JUB</t>
        </is>
      </c>
      <c r="F19" s="20" t="inlineStr">
        <is>
          <t>Rope access</t>
        </is>
      </c>
      <c r="G19" s="20" t="inlineStr">
        <is>
          <t>Hybrid</t>
        </is>
      </c>
    </row>
    <row r="20">
      <c r="B20" s="21" t="n">
        <v>2.44</v>
      </c>
      <c r="C20" s="21" t="n">
        <v>2.96</v>
      </c>
      <c r="D20" s="21" t="n">
        <v>2.95</v>
      </c>
      <c r="E20" s="21" t="n">
        <v>3.29</v>
      </c>
      <c r="F20" s="21" t="n">
        <v>2.63</v>
      </c>
      <c r="G20" s="21" t="n">
        <v>3.57</v>
      </c>
    </row>
  </sheetData>
  <mergeCells count="3">
    <mergeCell ref="A18:H18"/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22" customWidth="1" min="3" max="3"/>
    <col width="40" customWidth="1" min="4" max="4"/>
    <col width="52" customWidth="1" min="5" max="5"/>
    <col width="20" customWidth="1" min="6" max="6"/>
    <col width="30" customWidth="1" min="7" max="7"/>
  </cols>
  <sheetData>
    <row r="1" ht="28" customHeight="1">
      <c r="A1" s="1" t="inlineStr">
        <is>
          <t>ED-018-2026-01 Deliverable Compliance Matrix</t>
        </is>
      </c>
    </row>
    <row r="2" ht="32" customHeight="1">
      <c r="A2" s="2" t="inlineStr">
        <is>
          <t>Tracks every core Stage 1 commitment to a section and evidence status.</t>
        </is>
      </c>
    </row>
    <row r="3"/>
    <row r="4" ht="30" customHeight="1">
      <c r="A4" s="5" t="inlineStr">
        <is>
          <t>Proposal commitment</t>
        </is>
      </c>
      <c r="B4" s="5" t="inlineStr">
        <is>
          <t>Response in report/model</t>
        </is>
      </c>
      <c r="C4" s="5" t="inlineStr">
        <is>
          <t>Status</t>
        </is>
      </c>
      <c r="D4" s="5" t="inlineStr">
        <is>
          <t>Evidence / file</t>
        </is>
      </c>
      <c r="E4" s="5" t="inlineStr">
        <is>
          <t>Gap / action before issue</t>
        </is>
      </c>
      <c r="F4" s="5" t="inlineStr">
        <is>
          <t>Owner</t>
        </is>
      </c>
      <c r="G4" s="5" t="inlineStr">
        <is>
          <t>Acceptance</t>
        </is>
      </c>
    </row>
    <row r="5">
      <c r="A5" s="4" t="inlineStr">
        <is>
          <t>Review contract, specification, methodology and programme</t>
        </is>
      </c>
      <c r="B5" s="4" t="inlineStr">
        <is>
          <t>Report Sections 3-5; workbook Current Baseline and Source Register</t>
        </is>
      </c>
      <c r="C5" s="12" t="inlineStr">
        <is>
          <t>Addressed</t>
        </is>
      </c>
      <c r="D5" s="4" t="inlineStr">
        <is>
          <t>Contract, Schedule.pdf, claim workbook, site reports</t>
        </is>
      </c>
      <c r="E5" s="4" t="inlineStr">
        <is>
          <t>Native MPP logic and current bent register remain open</t>
        </is>
      </c>
      <c r="F5" s="4" t="inlineStr">
        <is>
          <t>Endura/STL</t>
        </is>
      </c>
      <c r="G5" s="4" t="inlineStr">
        <is>
          <t>Sources reconciled</t>
        </is>
      </c>
    </row>
    <row r="6">
      <c r="A6" s="4" t="inlineStr">
        <is>
          <t>Confirm constraint envelope</t>
        </is>
      </c>
      <c r="B6" s="4" t="inlineStr">
        <is>
          <t>Report Section 4; Risk/RFI register</t>
        </is>
      </c>
      <c r="C6" s="16" t="inlineStr">
        <is>
          <t>Partially addressed</t>
        </is>
      </c>
      <c r="D6" s="4" t="inlineStr">
        <is>
          <t>Drawings, Shoreline, contract, ship profile</t>
        </is>
      </c>
      <c r="E6" s="4" t="inlineStr">
        <is>
          <t>Bathymetry, metocean, approvals and insurer positions</t>
        </is>
      </c>
      <c r="F6" s="4" t="inlineStr">
        <is>
          <t>STL/Endura</t>
        </is>
      </c>
      <c r="G6" s="4" t="inlineStr">
        <is>
          <t>Constraint register accepted</t>
        </is>
      </c>
    </row>
    <row r="7">
      <c r="A7" s="4" t="inlineStr">
        <is>
          <t>Identify and screen candidate access methods</t>
        </is>
      </c>
      <c r="B7" s="4" t="inlineStr">
        <is>
          <t>Report Section 6; MCA sheet</t>
        </is>
      </c>
      <c r="C7" s="12" t="inlineStr">
        <is>
          <t>Addressed</t>
        </is>
      </c>
      <c r="D7" s="4" t="inlineStr">
        <is>
          <t>Proposal longlist and source evidence</t>
        </is>
      </c>
      <c r="E7" s="4" t="inlineStr">
        <is>
          <t>Workshop confirmation</t>
        </is>
      </c>
      <c r="F7" s="4" t="inlineStr">
        <is>
          <t>Endura/STL</t>
        </is>
      </c>
      <c r="G7" s="4" t="inlineStr">
        <is>
          <t>Shortlist agreed</t>
        </is>
      </c>
    </row>
    <row r="8">
      <c r="A8" s="4" t="inlineStr">
        <is>
          <t>Develop shortlisted concepts</t>
        </is>
      </c>
      <c r="B8" s="4" t="inlineStr">
        <is>
          <t>Report Sections 7-10; Proposed Cycle</t>
        </is>
      </c>
      <c r="C8" s="16" t="inlineStr">
        <is>
          <t>Partially addressed</t>
        </is>
      </c>
      <c r="D8" s="4" t="inlineStr">
        <is>
          <t>Concept methodology and GGC precedent</t>
        </is>
      </c>
      <c r="E8" s="4" t="inlineStr">
        <is>
          <t>Supplier design and bent-family plates</t>
        </is>
      </c>
      <c r="F8" s="4" t="inlineStr">
        <is>
          <t>Endura/suppliers</t>
        </is>
      </c>
      <c r="G8" s="4" t="inlineStr">
        <is>
          <t>Concept design basis accepted</t>
        </is>
      </c>
    </row>
    <row r="9">
      <c r="A9" s="4" t="inlineStr">
        <is>
          <t>Define deployment and relocation cycle</t>
        </is>
      </c>
      <c r="B9" s="4" t="inlineStr">
        <is>
          <t>Report Sections 8-9; Proposed Cycle</t>
        </is>
      </c>
      <c r="C9" s="16" t="inlineStr">
        <is>
          <t>Partially addressed</t>
        </is>
      </c>
      <c r="D9" s="4" t="inlineStr">
        <is>
          <t>11 h working package</t>
        </is>
      </c>
      <c r="E9" s="4" t="inlineStr">
        <is>
          <t>Timed proving campaign required</t>
        </is>
      </c>
      <c r="F9" s="4" t="inlineStr">
        <is>
          <t>Contractor</t>
        </is>
      </c>
      <c r="G9" s="4" t="inlineStr">
        <is>
          <t>Accepted measured cycle</t>
        </is>
      </c>
    </row>
    <row r="10">
      <c r="A10" s="4" t="inlineStr">
        <is>
          <t>Assess tide/weather operability</t>
        </is>
      </c>
      <c r="B10" s="4" t="inlineStr">
        <is>
          <t>Report Sections 4, 9 and 12</t>
        </is>
      </c>
      <c r="C10" s="16" t="inlineStr">
        <is>
          <t>Partially addressed</t>
        </is>
      </c>
      <c r="D10" s="4" t="inlineStr">
        <is>
          <t>Specialist assumptions</t>
        </is>
      </c>
      <c r="E10" s="4" t="inlineStr">
        <is>
          <t>Site records/activity-specific limits</t>
        </is>
      </c>
      <c r="F10" s="4" t="inlineStr">
        <is>
          <t>Marine contractor</t>
        </is>
      </c>
      <c r="G10" s="4" t="inlineStr">
        <is>
          <t>Operability model accepted</t>
        </is>
      </c>
    </row>
    <row r="11">
      <c r="A11" s="4" t="inlineStr">
        <is>
          <t>Define containment and waste approach</t>
        </is>
      </c>
      <c r="B11" s="4" t="inlineStr">
        <is>
          <t>Report Sections 8 and 10</t>
        </is>
      </c>
      <c r="C11" s="16" t="inlineStr">
        <is>
          <t>Partially addressed</t>
        </is>
      </c>
      <c r="D11" s="4" t="inlineStr">
        <is>
          <t>Half-shell concept</t>
        </is>
      </c>
      <c r="E11" s="4" t="inlineStr">
        <is>
          <t>Headstock enclosure and mass balance</t>
        </is>
      </c>
      <c r="F11" s="4" t="inlineStr">
        <is>
          <t>Supplier</t>
        </is>
      </c>
      <c r="G11" s="4" t="inlineStr">
        <is>
          <t>Containment trial accepted</t>
        </is>
      </c>
    </row>
    <row r="12">
      <c r="A12" s="4" t="inlineStr">
        <is>
          <t>Define marine logistics, materials, waste and crew movement</t>
        </is>
      </c>
      <c r="B12" s="4" t="inlineStr">
        <is>
          <t>Report Section 9</t>
        </is>
      </c>
      <c r="C12" s="6" t="inlineStr">
        <is>
          <t>Addressed at concept level</t>
        </is>
      </c>
      <c r="D12" s="4" t="inlineStr">
        <is>
          <t>JUB/workboat concept</t>
        </is>
      </c>
      <c r="E12" s="4" t="inlineStr">
        <is>
          <t>Unit layout and service umbilicals</t>
        </is>
      </c>
      <c r="F12" s="4" t="inlineStr">
        <is>
          <t>Marine contractor</t>
        </is>
      </c>
      <c r="G12" s="4" t="inlineStr">
        <is>
          <t>Layout accepted</t>
        </is>
      </c>
    </row>
    <row r="13">
      <c r="A13" s="4" t="inlineStr">
        <is>
          <t>Assess structural interfaces and loading</t>
        </is>
      </c>
      <c r="B13" s="4" t="inlineStr">
        <is>
          <t>Report Section 11</t>
        </is>
      </c>
      <c r="C13" s="6" t="inlineStr">
        <is>
          <t>Open design gate</t>
        </is>
      </c>
      <c r="D13" s="4" t="inlineStr">
        <is>
          <t>Drawings/GGC precedent</t>
        </is>
      </c>
      <c r="E13" s="4" t="inlineStr">
        <is>
          <t>RPEQ design and independent check</t>
        </is>
      </c>
      <c r="F13" s="4" t="inlineStr">
        <is>
          <t>TW designer</t>
        </is>
      </c>
      <c r="G13" s="4" t="inlineStr">
        <is>
          <t>Certified design</t>
        </is>
      </c>
    </row>
    <row r="14">
      <c r="A14" s="4" t="inlineStr">
        <is>
          <t>Define cyclone and shipping response</t>
        </is>
      </c>
      <c r="B14" s="4" t="inlineStr">
        <is>
          <t>Report Section 12</t>
        </is>
      </c>
      <c r="C14" s="16" t="inlineStr">
        <is>
          <t>Partially addressed</t>
        </is>
      </c>
      <c r="D14" s="4" t="inlineStr">
        <is>
          <t>2-day make-safe and demob concept</t>
        </is>
      </c>
      <c r="E14" s="4" t="inlineStr">
        <is>
          <t>Timed full-spread drill and forecast dates</t>
        </is>
      </c>
      <c r="F14" s="4" t="inlineStr">
        <is>
          <t>Contractor/STL</t>
        </is>
      </c>
      <c r="G14" s="4" t="inlineStr">
        <is>
          <t>Response plan accepted</t>
        </is>
      </c>
    </row>
    <row r="15">
      <c r="A15" s="4" t="inlineStr">
        <is>
          <t>Multi-criteria assessment</t>
        </is>
      </c>
      <c r="B15" s="4" t="inlineStr">
        <is>
          <t>Report Section 13; MCA sheet</t>
        </is>
      </c>
      <c r="C15" s="12" t="inlineStr">
        <is>
          <t>Addressed</t>
        </is>
      </c>
      <c r="D15" s="4" t="inlineStr">
        <is>
          <t>Concept scoring</t>
        </is>
      </c>
      <c r="E15" s="4" t="inlineStr">
        <is>
          <t>STL workshop agreement</t>
        </is>
      </c>
      <c r="F15" s="4" t="inlineStr">
        <is>
          <t>Endura/STL</t>
        </is>
      </c>
      <c r="G15" s="4" t="inlineStr">
        <is>
          <t>Scores agreed</t>
        </is>
      </c>
    </row>
    <row r="16">
      <c r="A16" s="4" t="inlineStr">
        <is>
          <t>Indicative programme comparison</t>
        </is>
      </c>
      <c r="B16" s="4" t="inlineStr">
        <is>
          <t>Report Section 14; Programme sheet</t>
        </is>
      </c>
      <c r="C16" s="6" t="inlineStr">
        <is>
          <t>Addressed with qualifications</t>
        </is>
      </c>
      <c r="D16" s="4" t="inlineStr">
        <is>
          <t>Schedule and productivity model</t>
        </is>
      </c>
      <c r="E16" s="4" t="inlineStr">
        <is>
          <t>Dated line of balance</t>
        </is>
      </c>
      <c r="F16" s="4" t="inlineStr">
        <is>
          <t>Planner</t>
        </is>
      </c>
      <c r="G16" s="4" t="inlineStr">
        <is>
          <t>Programme accepted</t>
        </is>
      </c>
    </row>
    <row r="17">
      <c r="A17" s="4" t="inlineStr">
        <is>
          <t>Indicative cost comparison</t>
        </is>
      </c>
      <c r="B17" s="4" t="inlineStr">
        <is>
          <t>Report Section 15; Cost Build-Up</t>
        </is>
      </c>
      <c r="C17" s="16" t="inlineStr">
        <is>
          <t>Structured, not commercially closed</t>
        </is>
      </c>
      <c r="D17" s="4" t="inlineStr">
        <is>
          <t>Contract access basis and allowances</t>
        </is>
      </c>
      <c r="E17" s="4" t="inlineStr">
        <is>
          <t>Supplier quotations and bent register</t>
        </is>
      </c>
      <c r="F17" s="4" t="inlineStr">
        <is>
          <t>Commercial</t>
        </is>
      </c>
      <c r="G17" s="4" t="inlineStr">
        <is>
          <t>One reconciled cost truth</t>
        </is>
      </c>
    </row>
    <row r="18">
      <c r="A18" s="4" t="inlineStr">
        <is>
          <t>Market soundings</t>
        </is>
      </c>
      <c r="B18" s="4" t="inlineStr">
        <is>
          <t>Report Section 16; Source Register</t>
        </is>
      </c>
      <c r="C18" s="16" t="inlineStr">
        <is>
          <t>In progress</t>
        </is>
      </c>
      <c r="D18" s="4" t="inlineStr">
        <is>
          <t>GGC evidence received</t>
        </is>
      </c>
      <c r="E18" s="4" t="inlineStr">
        <is>
          <t>Firm GGC/JUB/containment quotations</t>
        </is>
      </c>
      <c r="F18" s="4" t="inlineStr">
        <is>
          <t>Endura</t>
        </is>
      </c>
      <c r="G18" s="4" t="inlineStr">
        <is>
          <t>Market evidence recorded</t>
        </is>
      </c>
    </row>
    <row r="19">
      <c r="A19" s="4" t="inlineStr">
        <is>
          <t>Options workshop</t>
        </is>
      </c>
      <c r="B19" s="4" t="inlineStr">
        <is>
          <t>Report Section 17</t>
        </is>
      </c>
      <c r="C19" s="6" t="inlineStr">
        <is>
          <t>Pending</t>
        </is>
      </c>
      <c r="D19" s="4" t="inlineStr">
        <is>
          <t>Workshop agenda included</t>
        </is>
      </c>
      <c r="E19" s="4" t="inlineStr">
        <is>
          <t>Hold workshop</t>
        </is>
      </c>
      <c r="F19" s="4" t="inlineStr">
        <is>
          <t>STL/Endura</t>
        </is>
      </c>
      <c r="G19" s="4" t="inlineStr">
        <is>
          <t>Decision recorded</t>
        </is>
      </c>
    </row>
    <row r="20">
      <c r="A20" s="4" t="inlineStr">
        <is>
          <t>Recommended methodology and implementation roadmap</t>
        </is>
      </c>
      <c r="B20" s="4" t="inlineStr">
        <is>
          <t>Report Sections 18-19</t>
        </is>
      </c>
      <c r="C20" s="6" t="inlineStr">
        <is>
          <t>Addressed conditionally</t>
        </is>
      </c>
      <c r="D20" s="4" t="inlineStr">
        <is>
          <t>Preferred concept and gate roadmap</t>
        </is>
      </c>
      <c r="E20" s="4" t="inlineStr">
        <is>
          <t>Close key feasibility gates</t>
        </is>
      </c>
      <c r="F20" s="4" t="inlineStr">
        <is>
          <t>STL/Endura</t>
        </is>
      </c>
      <c r="G20" s="4" t="inlineStr">
        <is>
          <t>Direction approved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3" customWidth="1" min="3" max="3"/>
    <col width="52" customWidth="1" min="4" max="4"/>
    <col width="48" customWidth="1" min="5" max="5"/>
    <col width="24" customWidth="1" min="6" max="6"/>
    <col width="22" customWidth="1" min="7" max="7"/>
    <col width="16" customWidth="1" min="8" max="8"/>
    <col width="38" customWidth="1" min="9" max="9"/>
  </cols>
  <sheetData>
    <row r="1" ht="28" customHeight="1">
      <c r="A1" s="1" t="inlineStr">
        <is>
          <t>Open Risks, Verification Gates and RFIs</t>
        </is>
      </c>
    </row>
    <row r="2" ht="32" customHeight="1">
      <c r="A2" s="2" t="inlineStr">
        <is>
          <t>No missing supplier or client input is silently treated as resolved.</t>
        </is>
      </c>
    </row>
    <row r="3"/>
    <row r="4" ht="30" customHeight="1">
      <c r="A4" s="5" t="inlineStr">
        <is>
          <t>ID</t>
        </is>
      </c>
      <c r="B4" s="5" t="inlineStr">
        <is>
          <t>Priority</t>
        </is>
      </c>
      <c r="C4" s="5" t="inlineStr">
        <is>
          <t>Risk / gate</t>
        </is>
      </c>
      <c r="D4" s="5" t="inlineStr">
        <is>
          <t>Required evidence</t>
        </is>
      </c>
      <c r="E4" s="5" t="inlineStr">
        <is>
          <t>Consequence if unresolved</t>
        </is>
      </c>
      <c r="F4" s="5" t="inlineStr">
        <is>
          <t>Owner</t>
        </is>
      </c>
      <c r="G4" s="5" t="inlineStr">
        <is>
          <t>Due</t>
        </is>
      </c>
      <c r="H4" s="5" t="inlineStr">
        <is>
          <t>Status</t>
        </is>
      </c>
      <c r="I4" s="5" t="inlineStr">
        <is>
          <t>Closure</t>
        </is>
      </c>
    </row>
    <row r="5">
      <c r="A5" s="4" t="inlineStr">
        <is>
          <t>OI-01</t>
        </is>
      </c>
      <c r="B5" s="6" t="inlineStr">
        <is>
          <t>Critical</t>
        </is>
      </c>
      <c r="C5" s="4" t="inlineStr">
        <is>
          <t>Current bent closeout and priority register</t>
        </is>
      </c>
      <c r="D5" s="4" t="inlineStr">
        <is>
          <t>Bent-by-bent status, family, preservation, priority and method assignment</t>
        </is>
      </c>
      <c r="E5" s="4" t="inlineStr">
        <is>
          <t>Scope, programme and cost cannot be finalised</t>
        </is>
      </c>
      <c r="F5" s="4" t="inlineStr">
        <is>
          <t>STL</t>
        </is>
      </c>
      <c r="G5" s="4" t="inlineStr">
        <is>
          <t>Immediate</t>
        </is>
      </c>
      <c r="H5" s="4" t="inlineStr">
        <is>
          <t>Open</t>
        </is>
      </c>
      <c r="I5" s="4" t="inlineStr"/>
    </row>
    <row r="6">
      <c r="A6" s="4" t="inlineStr">
        <is>
          <t>OI-02</t>
        </is>
      </c>
      <c r="B6" s="6" t="inlineStr">
        <is>
          <t>Critical</t>
        </is>
      </c>
      <c r="C6" s="4" t="inlineStr">
        <is>
          <t>Bathymetry and seabed</t>
        </is>
      </c>
      <c r="D6" s="4" t="inlineStr">
        <is>
          <t>Survey, leg-bearing and/or mooring basis</t>
        </is>
      </c>
      <c r="E6" s="4" t="inlineStr">
        <is>
          <t>JUB feasibility and inshore transition remain open</t>
        </is>
      </c>
      <c r="F6" s="4" t="inlineStr">
        <is>
          <t>STL/marine contractor</t>
        </is>
      </c>
      <c r="G6" s="4" t="inlineStr">
        <is>
          <t>Before concept freeze</t>
        </is>
      </c>
      <c r="H6" s="4" t="inlineStr">
        <is>
          <t>Open</t>
        </is>
      </c>
      <c r="I6" s="4" t="inlineStr"/>
    </row>
    <row r="7">
      <c r="A7" s="4" t="inlineStr">
        <is>
          <t>OI-03</t>
        </is>
      </c>
      <c r="B7" s="6" t="inlineStr">
        <is>
          <t>Critical</t>
        </is>
      </c>
      <c r="C7" s="4" t="inlineStr">
        <is>
          <t>Platform mass, buoyancy and CoG</t>
        </is>
      </c>
      <c r="D7" s="4" t="inlineStr">
        <is>
          <t>Certified load schedule with people, containment, waste and retained water</t>
        </is>
      </c>
      <c r="E7" s="4" t="inlineStr">
        <is>
          <t>Hoist/hang-off design cannot proceed</t>
        </is>
      </c>
      <c r="F7" s="4" t="inlineStr">
        <is>
          <t>GGC/supplier</t>
        </is>
      </c>
      <c r="G7" s="4" t="inlineStr">
        <is>
          <t>Before TW design</t>
        </is>
      </c>
      <c r="H7" s="4" t="inlineStr">
        <is>
          <t>Open</t>
        </is>
      </c>
      <c r="I7" s="4" t="inlineStr"/>
    </row>
    <row r="8">
      <c r="A8" s="4" t="inlineStr">
        <is>
          <t>OI-04</t>
        </is>
      </c>
      <c r="B8" s="6" t="inlineStr">
        <is>
          <t>Critical</t>
        </is>
      </c>
      <c r="C8" s="4" t="inlineStr">
        <is>
          <t>Sliding suspension and winch control</t>
        </is>
      </c>
      <c r="D8" s="4" t="inlineStr">
        <is>
          <t>Travel, locking, man-riding status, fault cases and lowering</t>
        </is>
      </c>
      <c r="E8" s="4" t="inlineStr">
        <is>
          <t>Platform cannot safely follow rake</t>
        </is>
      </c>
      <c r="F8" s="4" t="inlineStr">
        <is>
          <t>GGC/TW designer</t>
        </is>
      </c>
      <c r="G8" s="4" t="inlineStr">
        <is>
          <t>Before proving</t>
        </is>
      </c>
      <c r="H8" s="4" t="inlineStr">
        <is>
          <t>Open</t>
        </is>
      </c>
      <c r="I8" s="4" t="inlineStr"/>
    </row>
    <row r="9">
      <c r="A9" s="4" t="inlineStr">
        <is>
          <t>OI-05</t>
        </is>
      </c>
      <c r="B9" s="6" t="inlineStr">
        <is>
          <t>Critical</t>
        </is>
      </c>
      <c r="C9" s="4" t="inlineStr">
        <is>
          <t>Traversing-deck design</t>
        </is>
      </c>
      <c r="D9" s="4" t="inlineStr">
        <is>
          <t>Load path, relative movement, travel, locking and edge protection</t>
        </is>
      </c>
      <c r="E9" s="4" t="inlineStr">
        <is>
          <t>360° access unproven</t>
        </is>
      </c>
      <c r="F9" s="4" t="inlineStr">
        <is>
          <t>Supplier/TW designer</t>
        </is>
      </c>
      <c r="G9" s="4" t="inlineStr">
        <is>
          <t>Before proving</t>
        </is>
      </c>
      <c r="H9" s="4" t="inlineStr">
        <is>
          <t>Open</t>
        </is>
      </c>
      <c r="I9" s="4" t="inlineStr"/>
    </row>
    <row r="10">
      <c r="A10" s="4" t="inlineStr">
        <is>
          <t>OI-06</t>
        </is>
      </c>
      <c r="B10" s="6" t="inlineStr">
        <is>
          <t>Critical</t>
        </is>
      </c>
      <c r="C10" s="4" t="inlineStr">
        <is>
          <t>Pile and headstock containment</t>
        </is>
      </c>
      <c r="D10" s="4" t="inlineStr">
        <is>
          <t>Geometry, seals, extraction, negative pressure, wind limit, recovery and cycle</t>
        </is>
      </c>
      <c r="E10" s="4" t="inlineStr">
        <is>
          <t>Environmental/productivity case incomplete</t>
        </is>
      </c>
      <c r="F10" s="4" t="inlineStr">
        <is>
          <t>Containment supplier</t>
        </is>
      </c>
      <c r="G10" s="4" t="inlineStr">
        <is>
          <t>Before proving</t>
        </is>
      </c>
      <c r="H10" s="4" t="inlineStr">
        <is>
          <t>Open</t>
        </is>
      </c>
      <c r="I10" s="4" t="inlineStr"/>
    </row>
    <row r="11">
      <c r="A11" s="4" t="inlineStr">
        <is>
          <t>OI-07</t>
        </is>
      </c>
      <c r="B11" s="6" t="inlineStr">
        <is>
          <t>Critical</t>
        </is>
      </c>
      <c r="C11" s="4" t="inlineStr">
        <is>
          <t>Below-LAT jacket method</t>
        </is>
      </c>
      <c r="D11" s="4" t="inlineStr">
        <is>
          <t>Submerged installation, lower termination and inspection method</t>
        </is>
      </c>
      <c r="E11" s="4" t="inlineStr">
        <is>
          <t>Scope/cycle incomplete</t>
        </is>
      </c>
      <c r="F11" s="4" t="inlineStr">
        <is>
          <t>Manufacturer/marine specialist</t>
        </is>
      </c>
      <c r="G11" s="4" t="inlineStr">
        <is>
          <t>Before model freeze</t>
        </is>
      </c>
      <c r="H11" s="4" t="inlineStr">
        <is>
          <t>Open</t>
        </is>
      </c>
      <c r="I11" s="4" t="inlineStr"/>
    </row>
    <row r="12">
      <c r="A12" s="4" t="inlineStr">
        <is>
          <t>OI-08</t>
        </is>
      </c>
      <c r="B12" s="16" t="inlineStr">
        <is>
          <t>High</t>
        </is>
      </c>
      <c r="C12" s="4" t="inlineStr">
        <is>
          <t>Coating elapsed cycle</t>
        </is>
      </c>
      <c r="D12" s="4" t="inlineStr">
        <is>
          <t>Written G01/Dulux sequence and timed trial</t>
        </is>
      </c>
      <c r="E12" s="4" t="inlineStr">
        <is>
          <t>Set occupancy understated</t>
        </is>
      </c>
      <c r="F12" s="4" t="inlineStr">
        <is>
          <t>Coating supplier/contractor</t>
        </is>
      </c>
      <c r="G12" s="4" t="inlineStr">
        <is>
          <t>Proving</t>
        </is>
      </c>
      <c r="H12" s="4" t="inlineStr">
        <is>
          <t>Open</t>
        </is>
      </c>
      <c r="I12" s="4" t="inlineStr"/>
    </row>
    <row r="13">
      <c r="A13" s="4" t="inlineStr">
        <is>
          <t>OI-09</t>
        </is>
      </c>
      <c r="B13" s="16" t="inlineStr">
        <is>
          <t>High</t>
        </is>
      </c>
      <c r="C13" s="4" t="inlineStr">
        <is>
          <t>Bent-level approval workflow / repair library</t>
        </is>
      </c>
      <c r="D13" s="4" t="inlineStr">
        <is>
          <t>One-submission workflow, delegation and exceptions</t>
        </is>
      </c>
      <c r="E13" s="4" t="inlineStr">
        <is>
          <t>Approval holds may multiply</t>
        </is>
      </c>
      <c r="F13" s="4" t="inlineStr">
        <is>
          <t>STL/reviewing engineer</t>
        </is>
      </c>
      <c r="G13" s="4" t="inlineStr">
        <is>
          <t>Before procurement</t>
        </is>
      </c>
      <c r="H13" s="4" t="inlineStr">
        <is>
          <t>Open</t>
        </is>
      </c>
      <c r="I13" s="4" t="inlineStr"/>
    </row>
    <row r="14">
      <c r="A14" s="4" t="inlineStr">
        <is>
          <t>OI-10</t>
        </is>
      </c>
      <c r="B14" s="16" t="inlineStr">
        <is>
          <t>High</t>
        </is>
      </c>
      <c r="C14" s="4" t="inlineStr">
        <is>
          <t>Accepted weld output / simultaneous zones</t>
        </is>
      </c>
      <c r="D14" s="4" t="inlineStr">
        <is>
          <t>Timed shift data incl. prep, NDT and rework</t>
        </is>
      </c>
      <c r="E14" s="4" t="inlineStr">
        <is>
          <t>Fleet/resource sizing uncertain</t>
        </is>
      </c>
      <c r="F14" s="4" t="inlineStr">
        <is>
          <t>Welding contractor</t>
        </is>
      </c>
      <c r="G14" s="4" t="inlineStr">
        <is>
          <t>Proving</t>
        </is>
      </c>
      <c r="H14" s="4" t="inlineStr">
        <is>
          <t>Open</t>
        </is>
      </c>
      <c r="I14" s="4" t="inlineStr"/>
    </row>
    <row r="15">
      <c r="A15" s="4" t="inlineStr">
        <is>
          <t>OI-11</t>
        </is>
      </c>
      <c r="B15" s="16" t="inlineStr">
        <is>
          <t>High</t>
        </is>
      </c>
      <c r="C15" s="4" t="inlineStr">
        <is>
          <t>JUB unit, reach and relocation</t>
        </is>
      </c>
      <c r="D15" s="4" t="inlineStr">
        <is>
          <t>Candidate unit, crane chart, coverage, move time and refuge</t>
        </is>
      </c>
      <c r="E15" s="4" t="inlineStr">
        <is>
          <t>Marine programme/cost uncertain</t>
        </is>
      </c>
      <c r="F15" s="4" t="inlineStr">
        <is>
          <t>Marine contractor</t>
        </is>
      </c>
      <c r="G15" s="4" t="inlineStr">
        <is>
          <t>Market sounding</t>
        </is>
      </c>
      <c r="H15" s="4" t="inlineStr">
        <is>
          <t>Open</t>
        </is>
      </c>
      <c r="I15" s="4" t="inlineStr"/>
    </row>
    <row r="16">
      <c r="A16" s="4" t="inlineStr">
        <is>
          <t>OI-12</t>
        </is>
      </c>
      <c r="B16" s="16" t="inlineStr">
        <is>
          <t>High</t>
        </is>
      </c>
      <c r="C16" s="4" t="inlineStr">
        <is>
          <t>Metocean and operational limits</t>
        </is>
      </c>
      <c r="D16" s="4" t="inlineStr">
        <is>
          <t>Site data and activity-specific limits</t>
        </is>
      </c>
      <c r="E16" s="4" t="inlineStr">
        <is>
          <t>Availability remains assumption</t>
        </is>
      </c>
      <c r="F16" s="4" t="inlineStr">
        <is>
          <t>STL/marine contractor</t>
        </is>
      </c>
      <c r="G16" s="4" t="inlineStr">
        <is>
          <t>Before final programme</t>
        </is>
      </c>
      <c r="H16" s="4" t="inlineStr">
        <is>
          <t>Open</t>
        </is>
      </c>
      <c r="I16" s="4" t="inlineStr"/>
    </row>
    <row r="17">
      <c r="A17" s="4" t="inlineStr">
        <is>
          <t>OI-13</t>
        </is>
      </c>
      <c r="B17" s="16" t="inlineStr">
        <is>
          <t>High</t>
        </is>
      </c>
      <c r="C17" s="4" t="inlineStr">
        <is>
          <t>Shipping forecast / make-safe</t>
        </is>
      </c>
      <c r="D17" s="4" t="inlineStr">
        <is>
          <t>FY27-28 forecast and permitted continuing work</t>
        </is>
      </c>
      <c r="E17" s="4" t="inlineStr">
        <is>
          <t>Calendar provisional</t>
        </is>
      </c>
      <c r="F17" s="4" t="inlineStr">
        <is>
          <t>STL</t>
        </is>
      </c>
      <c r="G17" s="4" t="inlineStr">
        <is>
          <t>Before final programme</t>
        </is>
      </c>
      <c r="H17" s="4" t="inlineStr">
        <is>
          <t>Open</t>
        </is>
      </c>
      <c r="I17" s="4" t="inlineStr"/>
    </row>
    <row r="18">
      <c r="A18" s="4" t="inlineStr">
        <is>
          <t>OI-14</t>
        </is>
      </c>
      <c r="B18" s="16" t="inlineStr">
        <is>
          <t>High</t>
        </is>
      </c>
      <c r="C18" s="4" t="inlineStr">
        <is>
          <t>Regulatory, biosecurity and insurance</t>
        </is>
      </c>
      <c r="D18" s="4" t="inlineStr">
        <is>
          <t>GBRMPA, MSQ, PoT, EPA, vessel and insurance positions</t>
        </is>
      </c>
      <c r="E18" s="4" t="inlineStr">
        <is>
          <t>Approvals/tender scope incomplete</t>
        </is>
      </c>
      <c r="F18" s="4" t="inlineStr">
        <is>
          <t>STL/advisers</t>
        </is>
      </c>
      <c r="G18" s="4" t="inlineStr">
        <is>
          <t>Before tender</t>
        </is>
      </c>
      <c r="H18" s="4" t="inlineStr">
        <is>
          <t>Open</t>
        </is>
      </c>
      <c r="I18" s="4" t="inlineStr"/>
    </row>
    <row r="19">
      <c r="A19" s="4" t="inlineStr">
        <is>
          <t>OI-15</t>
        </is>
      </c>
      <c r="B19" s="16" t="inlineStr">
        <is>
          <t>High</t>
        </is>
      </c>
      <c r="C19" s="4" t="inlineStr">
        <is>
          <t>Supplier commercial quotations</t>
        </is>
      </c>
      <c r="D19" s="4" t="inlineStr">
        <is>
          <t>Firm rates, inclusions and availability</t>
        </is>
      </c>
      <c r="E19" s="4" t="inlineStr">
        <is>
          <t>Cost model not commercially closed</t>
        </is>
      </c>
      <c r="F19" s="4" t="inlineStr">
        <is>
          <t>GGC/JUB/containment</t>
        </is>
      </c>
      <c r="G19" s="4" t="inlineStr">
        <is>
          <t>Immediate</t>
        </is>
      </c>
      <c r="H19" s="4" t="inlineStr">
        <is>
          <t>Open</t>
        </is>
      </c>
      <c r="I19" s="4" t="inlineStr"/>
    </row>
  </sheetData>
  <mergeCells count="2">
    <mergeCell ref="A2:L2"/>
    <mergeCell ref="A1:L1"/>
  </mergeCells>
  <dataValidations count="1">
    <dataValidation sqref="H5:H19" showDropDown="0" showInputMessage="0" showErrorMessage="0" allowBlank="0" type="list">
      <formula1>"Open,In progress,Closed,Deferred"</formula1>
    </dataValidation>
  </dataValidation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5" customWidth="1" min="3" max="3"/>
    <col width="15" customWidth="1" min="4" max="4"/>
    <col width="15" customWidth="1" min="5" max="5"/>
    <col width="19" customWidth="1" min="6" max="6"/>
    <col width="17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Executive Dashboard</t>
        </is>
      </c>
    </row>
    <row r="2" ht="32" customHeight="1">
      <c r="A2" s="2" t="inlineStr">
        <is>
          <t>Decision summary for the options workshop. Commercial values are working allowances only.</t>
        </is>
      </c>
    </row>
    <row r="3"/>
    <row r="4">
      <c r="A4" s="22" t="inlineStr">
        <is>
          <t>Stress-case bents</t>
        </is>
      </c>
      <c r="D4" s="22" t="inlineStr">
        <is>
          <t>Required rate</t>
        </is>
      </c>
      <c r="G4" s="22" t="inlineStr">
        <is>
          <t>Current planned in-season rate</t>
        </is>
      </c>
      <c r="J4" s="22" t="inlineStr">
        <is>
          <t>Claimed safe-access stage rate</t>
        </is>
      </c>
    </row>
    <row r="5">
      <c r="A5" s="23" t="n">
        <v>227</v>
      </c>
      <c r="D5" s="24" t="n">
        <v>3.783333333333333</v>
      </c>
      <c r="G5" s="24" t="n">
        <v>2.461685823754789</v>
      </c>
      <c r="J5" s="24" t="n">
        <v>0.360730593607306</v>
      </c>
    </row>
    <row r="6"/>
    <row r="7"/>
    <row r="8"/>
    <row r="9" ht="30" customHeight="1">
      <c r="A9" s="5" t="inlineStr">
        <is>
          <t>Scenario</t>
        </is>
      </c>
      <c r="B9" s="5" t="inlineStr">
        <is>
          <t>Cycle days</t>
        </is>
      </c>
      <c r="C9" s="5" t="inlineStr">
        <is>
          <t>Sets</t>
        </is>
      </c>
      <c r="D9" s="5" t="inlineStr">
        <is>
          <t>Rate/week</t>
        </is>
      </c>
      <c r="E9" s="5" t="inlineStr">
        <is>
          <t>Weeks</t>
        </is>
      </c>
      <c r="F9" s="5" t="inlineStr">
        <is>
          <t>Indicative total</t>
        </is>
      </c>
      <c r="G9" s="5" t="inlineStr">
        <is>
          <t>Cost/bent</t>
        </is>
      </c>
      <c r="H9" s="5" t="inlineStr">
        <is>
          <t>Interpretation</t>
        </is>
      </c>
    </row>
    <row r="10">
      <c r="A10" s="4" t="inlineStr">
        <is>
          <t>S1</t>
        </is>
      </c>
      <c r="B10" s="9" t="n">
        <v>14.02</v>
      </c>
      <c r="C10" s="4" t="n">
        <v>11</v>
      </c>
      <c r="D10" s="9" t="n">
        <v>4.001426533523538</v>
      </c>
      <c r="E10" s="9" t="n">
        <v>56.72976827094475</v>
      </c>
      <c r="F10" s="17" t="n">
        <v>51658477.84839572</v>
      </c>
      <c r="G10" s="17" t="n">
        <v>227570.386997338</v>
      </c>
      <c r="H10" s="4" t="inlineStr">
        <is>
          <t>Nominally fits 60 weeks before missing work</t>
        </is>
      </c>
    </row>
    <row r="11">
      <c r="A11" s="4" t="inlineStr">
        <is>
          <t>S2</t>
        </is>
      </c>
      <c r="B11" s="9" t="n">
        <v>11.26</v>
      </c>
      <c r="C11" s="4" t="n">
        <v>9</v>
      </c>
      <c r="D11" s="9" t="n">
        <v>4.076376554174067</v>
      </c>
      <c r="E11" s="9" t="n">
        <v>55.68671023965142</v>
      </c>
      <c r="F11" s="17" t="n">
        <v>47184325.62973857</v>
      </c>
      <c r="G11" s="17" t="n">
        <v>207860.4653292448</v>
      </c>
      <c r="H11" s="4" t="inlineStr">
        <is>
          <t>Nominally fits 60 weeks before missing work</t>
        </is>
      </c>
    </row>
    <row r="12">
      <c r="A12" s="4" t="inlineStr">
        <is>
          <t>S3</t>
        </is>
      </c>
      <c r="B12" s="9" t="n">
        <v>8.26</v>
      </c>
      <c r="C12" s="4" t="n">
        <v>7</v>
      </c>
      <c r="D12" s="9" t="n">
        <v>4.322033898305085</v>
      </c>
      <c r="E12" s="9" t="n">
        <v>52.52156862745098</v>
      </c>
      <c r="F12" s="17" t="n">
        <v>41937714.12647059</v>
      </c>
      <c r="G12" s="17" t="n">
        <v>184747.639323659</v>
      </c>
      <c r="H12" s="4" t="inlineStr">
        <is>
          <t>Nominally fits 60 weeks before missing work</t>
        </is>
      </c>
    </row>
    <row r="13">
      <c r="A13" s="4" t="inlineStr">
        <is>
          <t>S4</t>
        </is>
      </c>
      <c r="B13" s="9" t="n">
        <v>7.48</v>
      </c>
      <c r="C13" s="4" t="n">
        <v>6</v>
      </c>
      <c r="D13" s="9" t="n">
        <v>4.090909090909091</v>
      </c>
      <c r="E13" s="9" t="n">
        <v>55.48888888888889</v>
      </c>
      <c r="F13" s="17" t="n">
        <v>41162075.61666666</v>
      </c>
      <c r="G13" s="17" t="n">
        <v>181330.7295888399</v>
      </c>
      <c r="H13" s="4" t="inlineStr">
        <is>
          <t>Nominally fits 60 weeks before missing work</t>
        </is>
      </c>
    </row>
    <row r="14"/>
    <row r="15"/>
    <row r="16" ht="22" customHeight="1">
      <c r="A16" s="10" t="inlineStr">
        <is>
          <t>Decision summary</t>
        </is>
      </c>
    </row>
    <row r="17">
      <c r="A17" s="20" t="inlineStr">
        <is>
          <t>1</t>
        </is>
      </c>
      <c r="B17" s="3" t="inlineStr">
        <is>
          <t>Current evidence</t>
        </is>
      </c>
      <c r="C17" s="4" t="inlineStr">
        <is>
          <t>The current programme plans approximately 2.46 completed bents per production week. Claimed safe-access output is approximately 0.36 stage equivalents per calendar week. They are not directly comparable.</t>
        </is>
      </c>
    </row>
    <row r="18">
      <c r="A18" s="20" t="inlineStr">
        <is>
          <t>2</t>
        </is>
      </c>
      <c r="B18" s="3" t="inlineStr">
        <is>
          <t>Preferred direction</t>
        </is>
      </c>
      <c r="C18" s="4" t="inlineStr">
        <is>
          <t>Suspended floating platforms with JUB logistics are the preferred concept for typical bents because they attack repeated scaffold handling, road congestion and tide-gated access.</t>
        </is>
      </c>
    </row>
    <row r="19">
      <c r="A19" s="20" t="inlineStr">
        <is>
          <t>3</t>
        </is>
      </c>
      <c r="B19" s="3" t="inlineStr">
        <is>
          <t>Programme reality</t>
        </is>
      </c>
      <c r="C19" s="4" t="inlineStr">
        <is>
          <t>The whole-scope stress target is 3.783 completed bents/week. The incomplete model needs 11 sets in the base case and 6 in the strongest diagnostic case.</t>
        </is>
      </c>
    </row>
    <row r="20">
      <c r="A20" s="20" t="inlineStr">
        <is>
          <t>4</t>
        </is>
      </c>
      <c r="B20" s="3" t="inlineStr">
        <is>
          <t>Commercial reality</t>
        </is>
      </c>
      <c r="C20" s="4" t="inlineStr">
        <is>
          <t>The cost framework is complete, but supplier rates and the current bent register are not. Totals are working allowances, not a quotation or budget commitment.</t>
        </is>
      </c>
    </row>
    <row r="21">
      <c r="A21" s="20" t="inlineStr">
        <is>
          <t>5</t>
        </is>
      </c>
      <c r="B21" s="3" t="inlineStr">
        <is>
          <t>Recommendation</t>
        </is>
      </c>
      <c r="C21" s="4" t="inlineStr">
        <is>
          <t>Proceed to supplier design, RFIs and a proving campaign. Freeze the fleet, programme and commercial recommendation only after accepted trial data.</t>
        </is>
      </c>
    </row>
  </sheetData>
  <mergeCells count="11">
    <mergeCell ref="A4:B4"/>
    <mergeCell ref="G4:H4"/>
    <mergeCell ref="A2:L2"/>
    <mergeCell ref="J4:K4"/>
    <mergeCell ref="A16:L16"/>
    <mergeCell ref="A1:L1"/>
    <mergeCell ref="D5:E6"/>
    <mergeCell ref="A5:B6"/>
    <mergeCell ref="G5:H6"/>
    <mergeCell ref="D4:E4"/>
    <mergeCell ref="J5:K6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00" customWidth="1" min="3" max="3"/>
    <col width="50" customWidth="1" min="4" max="4"/>
  </cols>
  <sheetData>
    <row r="1" ht="28" customHeight="1">
      <c r="A1" s="1" t="inlineStr">
        <is>
          <t>GGC Rate and Equipment Evidence Extract</t>
        </is>
      </c>
    </row>
    <row r="2" ht="32" customHeight="1">
      <c r="A2" s="2" t="inlineStr">
        <is>
          <t>Raw OCR evidence is retained for traceability. No OCR value is treated as a verified supplier quotation without source confirmation.</t>
        </is>
      </c>
    </row>
    <row r="3"/>
    <row r="4" ht="30" customHeight="1">
      <c r="A4" s="5" t="inlineStr">
        <is>
          <t>Source image</t>
        </is>
      </c>
      <c r="B4" s="5" t="inlineStr">
        <is>
          <t>Currency-like OCR hits</t>
        </is>
      </c>
      <c r="C4" s="5" t="inlineStr">
        <is>
          <t>OCR extract / note</t>
        </is>
      </c>
      <c r="D4" s="5" t="inlineStr">
        <is>
          <t>Model treatment</t>
        </is>
      </c>
    </row>
    <row r="5">
      <c r="A5" s="4" t="inlineStr">
        <is>
          <t>No structured rate file identified</t>
        </is>
      </c>
      <c r="B5" s="4" t="inlineStr">
        <is>
          <t>n/a</t>
        </is>
      </c>
      <c r="C5" s="4" t="inlineStr">
        <is>
          <t>No OCR extract available.</t>
        </is>
      </c>
      <c r="D5" s="4" t="inlineStr">
        <is>
          <t>All proposed rates remain editable Endura allowances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&amp;CCommercial in confidence&amp;RPage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2026-08-20T07:51:52Z</dcterms:created>
  <dcterms:modified xmlns:dcterms="http://purl.org/dc/terms/" xmlns:xsi="http://www.w3.org/2001/XMLSchema-instance" xsi:type="dcterms:W3CDTF">2026-08-20T07:51:52Z</dcterms:modified>
</cp:coreProperties>
</file>