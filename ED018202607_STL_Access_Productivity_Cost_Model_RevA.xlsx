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01 Source Manifest" sheetId="2" state="visible" r:id="rId2"/>
    <sheet xmlns:r="http://schemas.openxmlformats.org/officeDocument/2006/relationships" name="02 Proposal Compliance" sheetId="3" state="visible" r:id="rId3"/>
    <sheet xmlns:r="http://schemas.openxmlformats.org/officeDocument/2006/relationships" name="03 Current Baseline" sheetId="4" state="visible" r:id="rId4"/>
    <sheet xmlns:r="http://schemas.openxmlformats.org/officeDocument/2006/relationships" name="04 Current Schedule" sheetId="5" state="visible" r:id="rId5"/>
    <sheet xmlns:r="http://schemas.openxmlformats.org/officeDocument/2006/relationships" name="05 Proposed WBS" sheetId="6" state="visible" r:id="rId6"/>
    <sheet xmlns:r="http://schemas.openxmlformats.org/officeDocument/2006/relationships" name="06 Rate Register" sheetId="7" state="visible" r:id="rId7"/>
    <sheet xmlns:r="http://schemas.openxmlformats.org/officeDocument/2006/relationships" name="07 Cost Build Up" sheetId="8" state="visible" r:id="rId8"/>
    <sheet xmlns:r="http://schemas.openxmlformats.org/officeDocument/2006/relationships" name="08 Productivity" sheetId="9" state="visible" r:id="rId9"/>
    <sheet xmlns:r="http://schemas.openxmlformats.org/officeDocument/2006/relationships" name="09 Fleet Scenarios" sheetId="10" state="visible" r:id="rId10"/>
    <sheet xmlns:r="http://schemas.openxmlformats.org/officeDocument/2006/relationships" name="10 Programme" sheetId="11" state="visible" r:id="rId11"/>
    <sheet xmlns:r="http://schemas.openxmlformats.org/officeDocument/2006/relationships" name="11 Comparison" sheetId="12" state="visible" r:id="rId12"/>
    <sheet xmlns:r="http://schemas.openxmlformats.org/officeDocument/2006/relationships" name="12 Risks &amp; RFIs" sheetId="13" state="visible" r:id="rId13"/>
    <sheet xmlns:r="http://schemas.openxmlformats.org/officeDocument/2006/relationships" name="13 Dashboard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3333"/>
      <sz val="10"/>
    </font>
    <font>
      <i val="1"/>
      <color rgb="00C0000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b val="1"/>
      <color rgb="00FFFFFF"/>
      <sz val="10"/>
    </font>
    <font>
      <b val="1"/>
      <color rgb="00C00000"/>
    </font>
    <font>
      <b val="1"/>
      <color rgb="00FFFFFF"/>
      <sz val="11"/>
    </font>
    <font>
      <b val="1"/>
      <color rgb="00E8751A"/>
      <sz val="22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2F2F2"/>
      </patternFill>
    </fill>
    <fill>
      <patternFill patternType="solid">
        <fgColor rgb="00E8751A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6" borderId="0" applyAlignment="1" pivotButton="0" quotePrefix="0" xfId="0">
      <alignment vertical="top" wrapText="1"/>
    </xf>
    <xf numFmtId="164" fontId="5" fillId="7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Output by Complete Access Sets</a:t>
            </a:r>
          </a:p>
        </rich>
      </tx>
    </title>
    <plotArea>
      <lineChart>
        <grouping val="standard"/>
        <ser>
          <idx val="0"/>
          <order val="0"/>
          <tx>
            <strRef>
              <f>'08 Productivity'!B43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Productivity'!$A$44:$A$55</f>
            </numRef>
          </cat>
          <val>
            <numRef>
              <f>'08 Productivity'!$B$44:$B$55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Access sets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QA-closed bents/week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Sets Required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 Fleet Scenarios'!I3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'09 Fleet Scenarios'!$A$4:$A$7</f>
            </numRef>
          </cat>
          <val>
            <numRef>
              <f>'09 Fleet Scenarios'!$I$4:$I$7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Complete access sets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Sets Required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 Fleet Scenarios'!I3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'09 Fleet Scenarios'!$A$4:$A$7</f>
            </numRef>
          </cat>
          <val>
            <numRef>
              <f>'09 Fleet Scenarios'!$I$4:$I$7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ourceManifest" displayName="tblSourceManifest" ref="A3:K3" headerRowCount="1">
  <autoFilter ref="A3:K3"/>
  <tableColumns count="11">
    <tableColumn id="1" name="No."/>
    <tableColumn id="2" name="Repository path"/>
    <tableColumn id="3" name="Type"/>
    <tableColumn id="4" name="Size (MB)"/>
    <tableColumn id="5" name="SHA-256"/>
    <tableColumn id="6" name="Extraction status"/>
    <tableColumn id="7" name="Pages/sheets"/>
    <tableColumn id="8" name="Text chars"/>
    <tableColumn id="9" name="Review relevance"/>
    <tableColumn id="10" name="Current/supersed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posalCompliance" displayName="tblProposalCompliance" ref="A3:F16" headerRowCount="1">
  <autoFilter ref="A3:F16"/>
  <tableColumns count="6">
    <tableColumn id="1" name="ID"/>
    <tableColumn id="2" name="Proposal commitment / required output"/>
    <tableColumn id="3" name="Current package treatment"/>
    <tableColumn id="4" name="Evidence / workbook sheet"/>
    <tableColumn id="5" name="Status"/>
    <tableColumn id="6" name="Action before STL iss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posedWBS" displayName="tblProposedWBS" ref="A3:M34" headerRowCount="1">
  <autoFilter ref="A3:M34"/>
  <tableColumns count="13">
    <tableColumn id="1" name="WBS"/>
    <tableColumn id="2" name="Phase"/>
    <tableColumn id="3" name="Activity"/>
    <tableColumn id="4" name="Workfront / crew"/>
    <tableColumn id="5" name="Unit"/>
    <tableColumn id="6" name="Qty per typical bent"/>
    <tableColumn id="7" name="Active shifts"/>
    <tableColumn id="8" name="Elapsed hold days"/>
    <tableColumn id="9" name="Occupies access set"/>
    <tableColumn id="10" name="Can overlap ahead"/>
    <tableColumn id="11" name="Basis class"/>
    <tableColumn id="12" name="Source / verification"/>
    <tableColumn id="13" name="Cost 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ates" displayName="tblRates" ref="A3:K4" headerRowCount="1">
  <autoFilter ref="A3:K4"/>
  <tableColumns count="11">
    <tableColumn id="1" name="Rate ID"/>
    <tableColumn id="2" name="Category"/>
    <tableColumn id="3" name="Description / source context"/>
    <tableColumn id="4" name="Amount"/>
    <tableColumn id="5" name="Currency"/>
    <tableColumn id="6" name="Rate unit"/>
    <tableColumn id="7" name="Source file"/>
    <tableColumn id="8" name="Source line"/>
    <tableColumn id="9" name="Use in model?"/>
    <tableColumn id="10" name="Confidence"/>
    <tableColumn id="11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ostBuild" displayName="tblCostBuild" ref="A4:J39" headerRowCount="1">
  <autoFilter ref="A4:J39"/>
  <tableColumns count="10">
    <tableColumn id="1" name="Cost code"/>
    <tableColumn id="2" name="Cost group"/>
    <tableColumn id="3" name="Item"/>
    <tableColumn id="4" name="Qty"/>
    <tableColumn id="5" name="Unit"/>
    <tableColumn id="6" name="Rate"/>
    <tableColumn id="7" name="Duration / multiplier"/>
    <tableColumn id="8" name="Extended cost"/>
    <tableColumn id="9" name="Rate status"/>
    <tableColumn id="10" name="Source /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ogramme" displayName="tblProgramme" ref="A3:H20" headerRowCount="1">
  <autoFilter ref="A3:H20"/>
  <tableColumns count="8">
    <tableColumn id="1" name="WBS"/>
    <tableColumn id="2" name="Activity"/>
    <tableColumn id="3" name="Responsible party"/>
    <tableColumn id="4" name="Start basis"/>
    <tableColumn id="5" name="Duration weeks"/>
    <tableColumn id="6" name="Predecessor"/>
    <tableColumn id="7" name="Calendar treatment"/>
    <tableColumn id="8" name="Output / accept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mparison" displayName="tblComparison" ref="A3:E13" headerRowCount="1">
  <autoFilter ref="A3:E13"/>
  <tableColumns count="5">
    <tableColumn id="1" name="Criterion"/>
    <tableColumn id="2" name="Current scaffold methodology"/>
    <tableColumn id="3" name="Candidate marine access methodology"/>
    <tableColumn id="4" name="Evidence maturity"/>
    <tableColumn id="5" name="Decision consequ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isk" displayName="tblRisk" ref="A3:K18" headerRowCount="1">
  <autoFilter ref="A3:K18"/>
  <tableColumns count="11">
    <tableColumn id="1" name="ID"/>
    <tableColumn id="2" name="Category"/>
    <tableColumn id="3" name="Risk / open item"/>
    <tableColumn id="4" name="Consequence"/>
    <tableColumn id="5" name="Required evidence / action"/>
    <tableColumn id="6" name="Owner"/>
    <tableColumn id="7" name="Due"/>
    <tableColumn id="8" name="Status"/>
    <tableColumn id="9" name="Affects cost"/>
    <tableColumn id="10" name="Affects programme"/>
    <tableColumn id="11" name="Affects safe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6" customHeight="1">
      <c r="A1" s="1" t="inlineStr">
        <is>
          <t>STL Lucinda Access Methodology - Productivity and Cost Model</t>
        </is>
      </c>
    </row>
    <row r="2">
      <c r="A2" s="3" t="inlineStr">
        <is>
          <t>Commercial in confidence | All fees and costs AUD ex GST unless stated otherwise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20" t="n"/>
    </row>
    <row r="3">
      <c r="A3" s="4" t="inlineStr">
        <is>
          <t>Document ID</t>
        </is>
      </c>
      <c r="B3" s="5" t="inlineStr">
        <is>
          <t>ED-018-2026-07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Revision</t>
        </is>
      </c>
      <c r="B4" s="5" t="inlineStr">
        <is>
          <t>A - internal working model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4" t="inlineStr">
        <is>
          <t>Date</t>
        </is>
      </c>
      <c r="B5" s="5" t="inlineStr">
        <is>
          <t>20 August 2026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4" t="inlineStr">
        <is>
          <t>Prepared by</t>
        </is>
      </c>
      <c r="B6" s="5" t="inlineStr">
        <is>
          <t>Endura Decommissioning (Van Iersel Projects Pty Ltd)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4" t="inlineStr">
        <is>
          <t>Purpose</t>
        </is>
      </c>
      <c r="B7" s="5" t="inlineStr">
        <is>
          <t>Formula-driven comparison of the current scaffold methodology and the candidate reusable marine access system. Supports Stage 1 methodology, programme, cost and risk assessment.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4" t="inlineStr">
        <is>
          <t>Assurance status</t>
        </is>
      </c>
      <c r="B8" s="5" t="inlineStr">
        <is>
          <t>Concept-stage working model. Not for construction, procurement or cost commitment.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Key rule</t>
        </is>
      </c>
      <c r="B9" s="5" t="inlineStr">
        <is>
          <t>Claimed payment-stage equivalents are not treated as completed bents. Proposed rates are QA-closed bents/week only where the full cycle is represented.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4" t="inlineStr">
        <is>
          <t>Input colour</t>
        </is>
      </c>
      <c r="B10" s="5" t="inlineStr">
        <is>
          <t>Pale yellow = user/supplier input; green = project evidence; blue = formula; red = missing/gating input.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4" t="inlineStr">
        <is>
          <t>Current limitation</t>
        </is>
      </c>
      <c r="B11" s="5" t="inlineStr">
        <is>
          <t>Headstock containment, below-LAT jacket installation, full coating elapsed holds, supplier platform configuration, JUB staging and current bent register remain open.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4" t="inlineStr">
        <is>
          <t>Required stress test</t>
        </is>
      </c>
      <c r="B12" s="5" t="inlineStr">
        <is>
          <t>227 bents / 60 nominal production weeks = 3.783 QA-closed bents/week. This is a conservative whole-scope stress test, not confirmation that all 227 are priority repairs.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4" t="inlineStr">
        <is>
          <t>Recommended use</t>
        </is>
      </c>
      <c r="B13" s="5" t="inlineStr">
        <is>
          <t>Use the model to test access sets, weld crews, approval strategy, shifts and verified supplier rates. Do not quote a total cost while red/TBC inputs remain.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5">
      <c r="A15" s="21" t="inlineStr">
        <is>
          <t>Repository rate extraction</t>
        </is>
      </c>
      <c r="B15" s="22" t="inlineStr">
        <is>
          <t>0 currency/rate candidate lines were extracted to 06 Rate Register. Every candidate remains Use in model = N until checked against the original GGC/supplier source.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</sheetData>
  <mergeCells count="2">
    <mergeCell ref="A2:L2"/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10" customWidth="1" min="3" max="3"/>
    <col width="11" customWidth="1" min="4" max="4"/>
    <col width="22" customWidth="1" min="5" max="5"/>
    <col width="19" customWidth="1" min="6" max="6"/>
    <col width="14" customWidth="1" min="7" max="7"/>
    <col width="12" customWidth="1" min="8" max="8"/>
    <col width="18" customWidth="1" min="9" max="9"/>
    <col width="20" customWidth="1" min="10" max="10"/>
    <col width="45" customWidth="1" min="11" max="11"/>
    <col width="10" customWidth="1" min="12" max="12"/>
  </cols>
  <sheetData>
    <row r="1" ht="26" customHeight="1">
      <c r="A1" s="1" t="inlineStr">
        <is>
          <t>Source Manifest and Extraction Coverage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No.</t>
        </is>
      </c>
      <c r="B3" s="6" t="inlineStr">
        <is>
          <t>Repository path</t>
        </is>
      </c>
      <c r="C3" s="6" t="inlineStr">
        <is>
          <t>Type</t>
        </is>
      </c>
      <c r="D3" s="6" t="inlineStr">
        <is>
          <t>Size (MB)</t>
        </is>
      </c>
      <c r="E3" s="6" t="inlineStr">
        <is>
          <t>SHA-256</t>
        </is>
      </c>
      <c r="F3" s="6" t="inlineStr">
        <is>
          <t>Extraction status</t>
        </is>
      </c>
      <c r="G3" s="6" t="inlineStr">
        <is>
          <t>Pages/sheets</t>
        </is>
      </c>
      <c r="H3" s="6" t="inlineStr">
        <is>
          <t>Text chars</t>
        </is>
      </c>
      <c r="I3" s="6" t="inlineStr">
        <is>
          <t>Review relevance</t>
        </is>
      </c>
      <c r="J3" s="6" t="inlineStr">
        <is>
          <t>Current/superseded</t>
        </is>
      </c>
      <c r="K3" s="6" t="inlineStr">
        <is>
          <t>Notes</t>
        </is>
      </c>
      <c r="L3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0" customWidth="1" min="3" max="3"/>
    <col width="34" customWidth="1" min="4" max="4"/>
    <col width="22" customWidth="1" min="5" max="5"/>
    <col width="4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Stage 1 Proposal Deliverable Compliance Matrix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ID</t>
        </is>
      </c>
      <c r="B3" s="6" t="inlineStr">
        <is>
          <t>Proposal commitment / required output</t>
        </is>
      </c>
      <c r="C3" s="6" t="inlineStr">
        <is>
          <t>Current package treatment</t>
        </is>
      </c>
      <c r="D3" s="6" t="inlineStr">
        <is>
          <t>Evidence / workbook sheet</t>
        </is>
      </c>
      <c r="E3" s="6" t="inlineStr">
        <is>
          <t>Status</t>
        </is>
      </c>
      <c r="F3" s="6" t="inlineStr">
        <is>
          <t>Action before STL issue</t>
        </is>
      </c>
      <c r="G3" s="2" t="n"/>
      <c r="H3" s="2" t="n"/>
      <c r="I3" s="2" t="n"/>
      <c r="J3" s="2" t="n"/>
      <c r="K3" s="2" t="n"/>
      <c r="L3" s="2" t="n"/>
    </row>
    <row r="4">
      <c r="A4" s="5" t="inlineStr">
        <is>
          <t>D01</t>
        </is>
      </c>
      <c r="B4" s="5" t="inlineStr">
        <is>
          <t>Review project information, contract, drawings, reports, programme and current progress</t>
        </is>
      </c>
      <c r="C4" s="5" t="inlineStr">
        <is>
          <t>Source manifest and baseline review</t>
        </is>
      </c>
      <c r="D4" s="5" t="inlineStr">
        <is>
          <t>01 Source Manifest; 03 Current Baseline; 04 Current Schedule</t>
        </is>
      </c>
      <c r="E4" s="5" t="inlineStr">
        <is>
          <t>Covered</t>
        </is>
      </c>
      <c r="F4" s="5" t="inlineStr">
        <is>
          <t>Maintain controlled source register and close unreadable/native schedule limitations.</t>
        </is>
      </c>
      <c r="G4" s="2" t="n"/>
      <c r="H4" s="2" t="n"/>
      <c r="I4" s="2" t="n"/>
      <c r="J4" s="2" t="n"/>
      <c r="K4" s="2" t="n"/>
      <c r="L4" s="2" t="n"/>
    </row>
    <row r="5">
      <c r="A5" s="5" t="inlineStr">
        <is>
          <t>D02</t>
        </is>
      </c>
      <c r="B5" s="5" t="inlineStr">
        <is>
          <t>Define and screen access methodology options</t>
        </is>
      </c>
      <c r="C5" s="5" t="inlineStr">
        <is>
          <t>Current scaffold, reusable marine access and hybrid/special-bent pathways</t>
        </is>
      </c>
      <c r="D5" s="5" t="inlineStr">
        <is>
          <t>Methodology Sections 4-5; 12 Comparison</t>
        </is>
      </c>
      <c r="E5" s="5" t="inlineStr">
        <is>
          <t>Covered</t>
        </is>
      </c>
      <c r="F5" s="5" t="inlineStr">
        <is>
          <t>Add formal weighted option-screening table after supplier input.</t>
        </is>
      </c>
      <c r="G5" s="2" t="n"/>
      <c r="H5" s="2" t="n"/>
      <c r="I5" s="2" t="n"/>
      <c r="J5" s="2" t="n"/>
      <c r="K5" s="2" t="n"/>
      <c r="L5" s="2" t="n"/>
    </row>
    <row r="6">
      <c r="A6" s="5" t="inlineStr">
        <is>
          <t>D03</t>
        </is>
      </c>
      <c r="B6" s="5" t="inlineStr">
        <is>
          <t>Define working configuration and equipment make-up</t>
        </is>
      </c>
      <c r="C6" s="5" t="inlineStr">
        <is>
          <t>Two long-face platforms, traversing decks, half-shell containment, access towers, JUB and workboat</t>
        </is>
      </c>
      <c r="D6" s="5" t="inlineStr">
        <is>
          <t>05 Proposed WBS; 08 Productivity</t>
        </is>
      </c>
      <c r="E6" s="5" t="inlineStr">
        <is>
          <t>Concept defined</t>
        </is>
      </c>
      <c r="F6" s="5" t="inlineStr">
        <is>
          <t>Close platform, winch, traversing deck and containment supplier data.</t>
        </is>
      </c>
      <c r="G6" s="2" t="n"/>
      <c r="H6" s="2" t="n"/>
      <c r="I6" s="2" t="n"/>
      <c r="J6" s="2" t="n"/>
      <c r="K6" s="2" t="n"/>
      <c r="L6" s="2" t="n"/>
    </row>
    <row r="7">
      <c r="A7" s="5" t="inlineStr">
        <is>
          <t>D04</t>
        </is>
      </c>
      <c r="B7" s="5" t="inlineStr">
        <is>
          <t>Define deployment and bent-to-bent relocation</t>
        </is>
      </c>
      <c r="C7" s="5" t="inlineStr">
        <is>
          <t>Detailed mobilisation, pre-rig, float-in, lift, service connection, lower and tow sequence</t>
        </is>
      </c>
      <c r="D7" s="5" t="inlineStr">
        <is>
          <t>05 Proposed WBS; 10 Programme</t>
        </is>
      </c>
      <c r="E7" s="5" t="inlineStr">
        <is>
          <t>Covered conceptually</t>
        </is>
      </c>
      <c r="F7" s="5" t="inlineStr">
        <is>
          <t>Validate by timed trial and marine operations plan.</t>
        </is>
      </c>
      <c r="G7" s="2" t="n"/>
      <c r="H7" s="2" t="n"/>
      <c r="I7" s="2" t="n"/>
      <c r="J7" s="2" t="n"/>
      <c r="K7" s="2" t="n"/>
      <c r="L7" s="2" t="n"/>
    </row>
    <row r="8">
      <c r="A8" s="5" t="inlineStr">
        <is>
          <t>D05</t>
        </is>
      </c>
      <c r="B8" s="5" t="inlineStr">
        <is>
          <t>Assess tide, weather and operability</t>
        </is>
      </c>
      <c r="C8" s="5" t="inlineStr">
        <is>
          <t>Activity-specific weather/tide gates and residual availability input</t>
        </is>
      </c>
      <c r="D8" s="5" t="inlineStr">
        <is>
          <t>08 Productivity; 10 Programme; 13 Risks</t>
        </is>
      </c>
      <c r="E8" s="5" t="inlineStr">
        <is>
          <t>Partial</t>
        </is>
      </c>
      <c r="F8" s="5" t="inlineStr">
        <is>
          <t>Build dated metocean/ship-call calendar from STL records.</t>
        </is>
      </c>
      <c r="G8" s="2" t="n"/>
      <c r="H8" s="2" t="n"/>
      <c r="I8" s="2" t="n"/>
      <c r="J8" s="2" t="n"/>
      <c r="K8" s="2" t="n"/>
      <c r="L8" s="2" t="n"/>
    </row>
    <row r="9">
      <c r="A9" s="5" t="inlineStr">
        <is>
          <t>D06</t>
        </is>
      </c>
      <c r="B9" s="5" t="inlineStr">
        <is>
          <t>Develop containment and waste-recovery approach</t>
        </is>
      </c>
      <c r="C9" s="5" t="inlineStr">
        <is>
          <t>Pile half-shell and headstock enclosure gate, negative pressure, abrasive/wash-water recovery</t>
        </is>
      </c>
      <c r="D9" s="5" t="inlineStr">
        <is>
          <t>05 Proposed WBS; 13 Risks</t>
        </is>
      </c>
      <c r="E9" s="5" t="inlineStr">
        <is>
          <t>Partial</t>
        </is>
      </c>
      <c r="F9" s="5" t="inlineStr">
        <is>
          <t>Supplier design and environmental acceptance criteria required.</t>
        </is>
      </c>
      <c r="G9" s="2" t="n"/>
      <c r="H9" s="2" t="n"/>
      <c r="I9" s="2" t="n"/>
      <c r="J9" s="2" t="n"/>
      <c r="K9" s="2" t="n"/>
      <c r="L9" s="2" t="n"/>
    </row>
    <row r="10">
      <c r="A10" s="5" t="inlineStr">
        <is>
          <t>D07</t>
        </is>
      </c>
      <c r="B10" s="5" t="inlineStr">
        <is>
          <t>Define materials, waste and crew logistics</t>
        </is>
      </c>
      <c r="C10" s="5" t="inlineStr">
        <is>
          <t>JUB service base, water logistics, crew by road, access towers, rescue craft</t>
        </is>
      </c>
      <c r="D10" s="5" t="inlineStr">
        <is>
          <t>05 Proposed WBS; 07 Cost Build-Up</t>
        </is>
      </c>
      <c r="E10" s="5" t="inlineStr">
        <is>
          <t>Covered conceptually</t>
        </is>
      </c>
      <c r="F10" s="5" t="inlineStr">
        <is>
          <t>Resource-load JUB, workboats, fuel, waste and accommodation.</t>
        </is>
      </c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D08</t>
        </is>
      </c>
      <c r="B11" s="5" t="inlineStr">
        <is>
          <t>Assess structural interfaces and temporary loading</t>
        </is>
      </c>
      <c r="C11" s="5" t="inlineStr">
        <is>
          <t>Hang-off points, sliding clamps, platform states, traversing deck and containment interfaces</t>
        </is>
      </c>
      <c r="D11" s="5" t="inlineStr">
        <is>
          <t>13 Risks &amp; RFIs</t>
        </is>
      </c>
      <c r="E11" s="5" t="inlineStr">
        <is>
          <t>Open gate</t>
        </is>
      </c>
      <c r="F11" s="5" t="inlineStr">
        <is>
          <t>RPEQ temporary-works design and independent check required.</t>
        </is>
      </c>
      <c r="G11" s="2" t="n"/>
      <c r="H11" s="2" t="n"/>
      <c r="I11" s="2" t="n"/>
      <c r="J11" s="2" t="n"/>
      <c r="K11" s="2" t="n"/>
      <c r="L11" s="2" t="n"/>
    </row>
    <row r="12">
      <c r="A12" s="5" t="inlineStr">
        <is>
          <t>D09</t>
        </is>
      </c>
      <c r="B12" s="5" t="inlineStr">
        <is>
          <t>Define cyclone, wet-season and ship-call response</t>
        </is>
      </c>
      <c r="C12" s="5" t="inlineStr">
        <is>
          <t>Full seasonal demob, two-day make-safe, fleet recovery and refuge requirements</t>
        </is>
      </c>
      <c r="D12" s="5" t="inlineStr">
        <is>
          <t>10 Programme; 13 Risks</t>
        </is>
      </c>
      <c r="E12" s="5" t="inlineStr">
        <is>
          <t>Partial</t>
        </is>
      </c>
      <c r="F12" s="5" t="inlineStr">
        <is>
          <t>Time and resource-load recovery with selected fleet/JUB.</t>
        </is>
      </c>
      <c r="G12" s="2" t="n"/>
      <c r="H12" s="2" t="n"/>
      <c r="I12" s="2" t="n"/>
      <c r="J12" s="2" t="n"/>
      <c r="K12" s="2" t="n"/>
      <c r="L12" s="2" t="n"/>
    </row>
    <row r="13">
      <c r="A13" s="5" t="inlineStr">
        <is>
          <t>D10</t>
        </is>
      </c>
      <c r="B13" s="5" t="inlineStr">
        <is>
          <t>Compare productivity, programme, cost and risk with current method</t>
        </is>
      </c>
      <c r="C13" s="5" t="inlineStr">
        <is>
          <t>Formula-driven baseline and scenarios; cost build-up and comparison</t>
        </is>
      </c>
      <c r="D13" s="5" t="inlineStr">
        <is>
          <t>03, 07, 08, 09, 10, 11, 12</t>
        </is>
      </c>
      <c r="E13" s="5" t="inlineStr">
        <is>
          <t>Covered with gaps</t>
        </is>
      </c>
      <c r="F13" s="5" t="inlineStr">
        <is>
          <t>Close supplier rates and remaining bent register.</t>
        </is>
      </c>
      <c r="G13" s="2" t="n"/>
      <c r="H13" s="2" t="n"/>
      <c r="I13" s="2" t="n"/>
      <c r="J13" s="2" t="n"/>
      <c r="K13" s="2" t="n"/>
      <c r="L13" s="2" t="n"/>
    </row>
    <row r="14">
      <c r="A14" s="5" t="inlineStr">
        <is>
          <t>D11</t>
        </is>
      </c>
      <c r="B14" s="5" t="inlineStr">
        <is>
          <t>Undertake supplier and contractor market soundings</t>
        </is>
      </c>
      <c r="C14" s="5" t="inlineStr">
        <is>
          <t>GGC/Hansen platform data, JUB candidates, raw rate register</t>
        </is>
      </c>
      <c r="D14" s="5" t="inlineStr">
        <is>
          <t>06 Rate Register; 13 Risks</t>
        </is>
      </c>
      <c r="E14" s="5" t="inlineStr">
        <is>
          <t>In progress</t>
        </is>
      </c>
      <c r="F14" s="5" t="inlineStr">
        <is>
          <t>Obtain written GGC quote, containment proposal and JUB availability/rates.</t>
        </is>
      </c>
      <c r="G14" s="2" t="n"/>
      <c r="H14" s="2" t="n"/>
      <c r="I14" s="2" t="n"/>
      <c r="J14" s="2" t="n"/>
      <c r="K14" s="2" t="n"/>
      <c r="L14" s="2" t="n"/>
    </row>
    <row r="15">
      <c r="A15" s="5" t="inlineStr">
        <is>
          <t>D12</t>
        </is>
      </c>
      <c r="B15" s="5" t="inlineStr">
        <is>
          <t>Facilitate options workshop with STL</t>
        </is>
      </c>
      <c r="C15" s="5" t="inlineStr">
        <is>
          <t>Decision and gate list prepared</t>
        </is>
      </c>
      <c r="D15" s="5" t="inlineStr">
        <is>
          <t>13 Risks &amp; RFIs</t>
        </is>
      </c>
      <c r="E15" s="5" t="inlineStr">
        <is>
          <t>Pending</t>
        </is>
      </c>
      <c r="F15" s="5" t="inlineStr">
        <is>
          <t>Hold workshop after draft issue.</t>
        </is>
      </c>
      <c r="G15" s="2" t="n"/>
      <c r="H15" s="2" t="n"/>
      <c r="I15" s="2" t="n"/>
      <c r="J15" s="2" t="n"/>
      <c r="K15" s="2" t="n"/>
      <c r="L15" s="2" t="n"/>
    </row>
    <row r="16">
      <c r="A16" s="5" t="inlineStr">
        <is>
          <t>D13</t>
        </is>
      </c>
      <c r="B16" s="5" t="inlineStr">
        <is>
          <t>Issue final report with recommended methodology and implementation roadmap</t>
        </is>
      </c>
      <c r="C16" s="5" t="inlineStr">
        <is>
          <t>Companion detailed report and roadmap</t>
        </is>
      </c>
      <c r="D16" s="5" t="inlineStr">
        <is>
          <t>DOCX report; 10 Programme</t>
        </is>
      </c>
      <c r="E16" s="5" t="inlineStr">
        <is>
          <t>Draft prepared</t>
        </is>
      </c>
      <c r="F16" s="5" t="inlineStr">
        <is>
          <t>Update after workshop and market sounding.</t>
        </is>
      </c>
      <c r="G16" s="2" t="n"/>
      <c r="H16" s="2" t="n"/>
      <c r="I16" s="2" t="n"/>
      <c r="J16" s="2" t="n"/>
      <c r="K16" s="2" t="n"/>
      <c r="L16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7" customWidth="1" min="3" max="3"/>
    <col width="15" customWidth="1" min="4" max="4"/>
    <col width="22" customWidth="1" min="5" max="5"/>
    <col width="55" customWidth="1" min="6" max="6"/>
    <col width="5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Current AAB Methodology - Progress and Cycle Baseline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Stage</t>
        </is>
      </c>
      <c r="B3" s="6" t="inlineStr">
        <is>
          <t>Claimed quantity Mar-Jul 2026</t>
        </is>
      </c>
      <c r="C3" s="6" t="inlineStr">
        <is>
          <t>Unit</t>
        </is>
      </c>
      <c r="D3" s="6" t="inlineStr">
        <is>
          <t>Period weeks</t>
        </is>
      </c>
      <c r="E3" s="6" t="inlineStr">
        <is>
          <t>Calculated rate/week</t>
        </is>
      </c>
      <c r="F3" s="6" t="inlineStr">
        <is>
          <t>Best month</t>
        </is>
      </c>
      <c r="G3" s="6" t="inlineStr">
        <is>
          <t>Verification note</t>
        </is>
      </c>
      <c r="H3" s="2" t="n"/>
      <c r="I3" s="2" t="n"/>
      <c r="J3" s="2" t="n"/>
      <c r="K3" s="2" t="n"/>
      <c r="L3" s="2" t="n"/>
    </row>
    <row r="4">
      <c r="A4" s="5" t="inlineStr">
        <is>
          <t>Provision of safe access</t>
        </is>
      </c>
      <c r="B4" s="5" t="n">
        <v>7.9</v>
      </c>
      <c r="C4" s="5" t="inlineStr">
        <is>
          <t>bent equivalent</t>
        </is>
      </c>
      <c r="D4" s="5" t="n">
        <v>21.9</v>
      </c>
      <c r="E4" s="7">
        <f>B4/D4</f>
        <v/>
      </c>
      <c r="F4" s="5" t="n">
        <v>3.2</v>
      </c>
      <c r="G4" s="5" t="inlineStr">
        <is>
          <t>Payment-stage equivalent, not completed bent</t>
        </is>
      </c>
      <c r="H4" s="2" t="n"/>
      <c r="I4" s="2" t="n"/>
      <c r="J4" s="2" t="n"/>
      <c r="K4" s="2" t="n"/>
      <c r="L4" s="2" t="n"/>
    </row>
    <row r="5">
      <c r="A5" s="5" t="inlineStr">
        <is>
          <t>Clean, inspect, UT and weld determination</t>
        </is>
      </c>
      <c r="B5" s="5" t="n">
        <v>9</v>
      </c>
      <c r="C5" s="5" t="inlineStr">
        <is>
          <t>bent equivalent</t>
        </is>
      </c>
      <c r="D5" s="5" t="n">
        <v>21.9</v>
      </c>
      <c r="E5" s="7">
        <f>B5/D5</f>
        <v/>
      </c>
      <c r="F5" s="5" t="n">
        <v>5</v>
      </c>
      <c r="G5" s="5" t="inlineStr">
        <is>
          <t>Payment-stage equivalent</t>
        </is>
      </c>
      <c r="H5" s="2" t="n"/>
      <c r="I5" s="2" t="n"/>
      <c r="J5" s="2" t="n"/>
      <c r="K5" s="2" t="n"/>
      <c r="L5" s="2" t="n"/>
    </row>
    <row r="6">
      <c r="A6" s="5" t="inlineStr">
        <is>
          <t>Abrasive blast and coating application</t>
        </is>
      </c>
      <c r="B6" s="5" t="n">
        <v>7</v>
      </c>
      <c r="C6" s="5" t="inlineStr">
        <is>
          <t>bent equivalent</t>
        </is>
      </c>
      <c r="D6" s="5" t="n">
        <v>21.9</v>
      </c>
      <c r="E6" s="7">
        <f>B6/D6</f>
        <v/>
      </c>
      <c r="F6" s="5" t="n">
        <v>3.5</v>
      </c>
      <c r="G6" s="5" t="inlineStr">
        <is>
          <t>Payment-stage equivalent</t>
        </is>
      </c>
      <c r="H6" s="2" t="n"/>
      <c r="I6" s="2" t="n"/>
      <c r="J6" s="2" t="n"/>
      <c r="K6" s="2" t="n"/>
      <c r="L6" s="2" t="n"/>
    </row>
    <row r="7">
      <c r="A7" s="5" t="inlineStr">
        <is>
          <t>Denso / petrolatum jacket installation</t>
        </is>
      </c>
      <c r="B7" s="5" t="n">
        <v>12</v>
      </c>
      <c r="C7" s="5" t="inlineStr">
        <is>
          <t>pile equivalent</t>
        </is>
      </c>
      <c r="D7" s="5" t="n">
        <v>21.9</v>
      </c>
      <c r="E7" s="7">
        <f>B7/D7</f>
        <v/>
      </c>
      <c r="F7" s="5" t="n">
        <v>7.3</v>
      </c>
      <c r="G7" s="5" t="inlineStr">
        <is>
          <t>Pile equivalent</t>
        </is>
      </c>
      <c r="H7" s="2" t="n"/>
      <c r="I7" s="2" t="n"/>
      <c r="J7" s="2" t="n"/>
      <c r="K7" s="2" t="n"/>
      <c r="L7" s="2" t="n"/>
    </row>
    <row r="8">
      <c r="A8" s="5" t="inlineStr">
        <is>
          <t>Weld preparation and welding</t>
        </is>
      </c>
      <c r="B8" s="5" t="n">
        <v>473.025</v>
      </c>
      <c r="C8" s="5" t="inlineStr">
        <is>
          <t>lm</t>
        </is>
      </c>
      <c r="D8" s="5" t="n">
        <v>21.9</v>
      </c>
      <c r="E8" s="7">
        <f>B8/D8</f>
        <v/>
      </c>
      <c r="F8" s="5" t="inlineStr">
        <is>
          <t>202.0 lm in Jun</t>
        </is>
      </c>
      <c r="G8" s="5" t="inlineStr">
        <is>
          <t>183.86 lm at 8 mm + 289.165 lm at 10 mm</t>
        </is>
      </c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30" customHeight="1">
      <c r="A12" s="6" t="inlineStr">
        <is>
          <t>Current cycle activity</t>
        </is>
      </c>
      <c r="B12" s="6" t="inlineStr">
        <is>
          <t>Low days</t>
        </is>
      </c>
      <c r="C12" s="6" t="inlineStr">
        <is>
          <t>High days</t>
        </is>
      </c>
      <c r="D12" s="6" t="inlineStr">
        <is>
          <t>Central days</t>
        </is>
      </c>
      <c r="E12" s="6" t="inlineStr">
        <is>
          <t>Character</t>
        </is>
      </c>
      <c r="F12" s="6" t="inlineStr">
        <is>
          <t>Source / limitation</t>
        </is>
      </c>
      <c r="G12" s="2" t="n"/>
      <c r="H12" s="2" t="n"/>
      <c r="I12" s="2" t="n"/>
      <c r="J12" s="2" t="n"/>
      <c r="K12" s="2" t="n"/>
      <c r="L12" s="2" t="n"/>
    </row>
    <row r="13">
      <c r="A13" s="5" t="inlineStr">
        <is>
          <t>Scaffold erection and encapsulation</t>
        </is>
      </c>
      <c r="B13" s="5" t="n">
        <v>2</v>
      </c>
      <c r="C13" s="5" t="n">
        <v>3</v>
      </c>
      <c r="D13" s="5" t="n">
        <v>2.5</v>
      </c>
      <c r="E13" s="5" t="inlineStr">
        <is>
          <t>Access handling</t>
        </is>
      </c>
      <c r="F13" s="5" t="inlineStr">
        <is>
          <t>Contract programme / validated screenshots; native logic requires planner confirmation</t>
        </is>
      </c>
      <c r="G13" s="2" t="n"/>
      <c r="H13" s="2" t="n"/>
      <c r="I13" s="2" t="n"/>
      <c r="J13" s="2" t="n"/>
      <c r="K13" s="2" t="n"/>
      <c r="L13" s="2" t="n"/>
    </row>
    <row r="14">
      <c r="A14" s="5" t="inlineStr">
        <is>
          <t>High pressure wash, inspection, UT</t>
        </is>
      </c>
      <c r="B14" s="5" t="n">
        <v>1</v>
      </c>
      <c r="C14" s="5" t="n">
        <v>1</v>
      </c>
      <c r="D14" s="5" t="n">
        <v>1</v>
      </c>
      <c r="E14" s="5" t="inlineStr">
        <is>
          <t>Productive</t>
        </is>
      </c>
      <c r="F14" s="5" t="inlineStr">
        <is>
          <t>Contract programme / validated screenshots; native logic requires planner confirmation</t>
        </is>
      </c>
      <c r="G14" s="2" t="n"/>
      <c r="H14" s="2" t="n"/>
      <c r="I14" s="2" t="n"/>
      <c r="J14" s="2" t="n"/>
      <c r="K14" s="2" t="n"/>
      <c r="L14" s="2" t="n"/>
    </row>
    <row r="15">
      <c r="A15" s="5" t="inlineStr">
        <is>
          <t>Weld repairs</t>
        </is>
      </c>
      <c r="B15" s="5" t="n">
        <v>2</v>
      </c>
      <c r="C15" s="5" t="n">
        <v>7</v>
      </c>
      <c r="D15" s="5" t="n">
        <v>4.5</v>
      </c>
      <c r="E15" s="5" t="inlineStr">
        <is>
          <t>Productive, variable</t>
        </is>
      </c>
      <c r="F15" s="5" t="inlineStr">
        <is>
          <t>Contract programme / validated screenshots; native logic requires planner confirmation</t>
        </is>
      </c>
      <c r="G15" s="2" t="n"/>
      <c r="H15" s="2" t="n"/>
      <c r="I15" s="2" t="n"/>
      <c r="J15" s="2" t="n"/>
      <c r="K15" s="2" t="n"/>
      <c r="L15" s="2" t="n"/>
    </row>
    <row r="16">
      <c r="A16" s="5" t="inlineStr">
        <is>
          <t>Repair approval hold</t>
        </is>
      </c>
      <c r="B16" s="5" t="n">
        <v>3</v>
      </c>
      <c r="C16" s="5" t="n">
        <v>3</v>
      </c>
      <c r="D16" s="5" t="n">
        <v>3</v>
      </c>
      <c r="E16" s="5" t="inlineStr">
        <is>
          <t>Waiting</t>
        </is>
      </c>
      <c r="F16" s="5" t="inlineStr">
        <is>
          <t>Contract programme / validated screenshots; native logic requires planner confirmation</t>
        </is>
      </c>
      <c r="G16" s="2" t="n"/>
      <c r="H16" s="2" t="n"/>
      <c r="I16" s="2" t="n"/>
      <c r="J16" s="2" t="n"/>
      <c r="K16" s="2" t="n"/>
      <c r="L16" s="2" t="n"/>
    </row>
    <row r="17">
      <c r="A17" s="5" t="inlineStr">
        <is>
          <t>Abrasive blast and two coats</t>
        </is>
      </c>
      <c r="B17" s="5" t="n">
        <v>3</v>
      </c>
      <c r="C17" s="5" t="n">
        <v>4</v>
      </c>
      <c r="D17" s="5" t="n">
        <v>3.5</v>
      </c>
      <c r="E17" s="5" t="inlineStr">
        <is>
          <t>Productive</t>
        </is>
      </c>
      <c r="F17" s="5" t="inlineStr">
        <is>
          <t>Contract programme / validated screenshots; native logic requires planner confirmation</t>
        </is>
      </c>
      <c r="G17" s="2" t="n"/>
      <c r="H17" s="2" t="n"/>
      <c r="I17" s="2" t="n"/>
      <c r="J17" s="2" t="n"/>
      <c r="K17" s="2" t="n"/>
      <c r="L17" s="2" t="n"/>
    </row>
    <row r="18">
      <c r="A18" s="5" t="inlineStr">
        <is>
          <t>Pile jacket installation</t>
        </is>
      </c>
      <c r="B18" s="5" t="n">
        <v>0</v>
      </c>
      <c r="C18" s="5" t="n">
        <v>2</v>
      </c>
      <c r="D18" s="5" t="n">
        <v>1</v>
      </c>
      <c r="E18" s="5" t="inlineStr">
        <is>
          <t>Tide limited</t>
        </is>
      </c>
      <c r="F18" s="5" t="inlineStr">
        <is>
          <t>Contract programme / validated screenshots; native logic requires planner confirmation</t>
        </is>
      </c>
      <c r="G18" s="2" t="n"/>
      <c r="H18" s="2" t="n"/>
      <c r="I18" s="2" t="n"/>
      <c r="J18" s="2" t="n"/>
      <c r="K18" s="2" t="n"/>
      <c r="L18" s="2" t="n"/>
    </row>
    <row r="19">
      <c r="A19" s="5" t="inlineStr">
        <is>
          <t>Scaffold strip and relocation</t>
        </is>
      </c>
      <c r="B19" s="5" t="n">
        <v>1</v>
      </c>
      <c r="C19" s="5" t="n">
        <v>2</v>
      </c>
      <c r="D19" s="5" t="n">
        <v>1.5</v>
      </c>
      <c r="E19" s="5" t="inlineStr">
        <is>
          <t>Access handling</t>
        </is>
      </c>
      <c r="F19" s="5" t="inlineStr">
        <is>
          <t>Contract programme / validated screenshots; native logic requires planner confirmation</t>
        </is>
      </c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5" t="inlineStr">
        <is>
          <t>Representative cycle subtotal (excl Sundays/float)</t>
        </is>
      </c>
      <c r="B21" s="2" t="n"/>
      <c r="C21" s="2" t="n"/>
      <c r="D21" s="5">
        <f>SUM(D13:D19)</f>
        <v/>
      </c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5" t="inlineStr">
        <is>
          <t>Programme typical elapsed basis</t>
        </is>
      </c>
      <c r="B22" s="2" t="n"/>
      <c r="C22" s="2" t="n"/>
      <c r="D22" s="5" t="n">
        <v>15</v>
      </c>
      <c r="E22" s="2" t="n"/>
      <c r="F22" s="5" t="inlineStr">
        <is>
          <t>Programme screenshots indicate approximately 14-15 calendar days; earlier stress allowance used 16 days.</t>
        </is>
      </c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5" t="inlineStr">
        <is>
          <t>Current contract access basis (firm scope)</t>
        </is>
      </c>
      <c r="B24" s="5" t="n">
        <v>9275472.359999999</v>
      </c>
      <c r="C24" s="5" t="inlineStr">
        <is>
          <t>AUD ex GST</t>
        </is>
      </c>
      <c r="D24" s="2" t="n"/>
      <c r="E24" s="2" t="n"/>
      <c r="F24" s="5" t="inlineStr">
        <is>
          <t>Historical contract access basis, not remaining avoidable cost. Reconcile to current certified claims before commercial use.</t>
        </is>
      </c>
      <c r="G24" s="2" t="n"/>
      <c r="H24" s="2" t="n"/>
      <c r="I24" s="2" t="n"/>
      <c r="J24" s="2" t="n"/>
      <c r="K24" s="2" t="n"/>
      <c r="L24" s="2" t="n"/>
    </row>
    <row r="25">
      <c r="A25" s="5" t="inlineStr">
        <is>
          <t>Access basis per firm bent</t>
        </is>
      </c>
      <c r="B25" s="5">
        <f>B24/237</f>
        <v/>
      </c>
      <c r="C25" s="5" t="inlineStr">
        <is>
          <t>AUD/bent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55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10" customWidth="1" min="10" max="10"/>
    <col width="10" customWidth="1" min="11" max="11"/>
    <col width="13" customWidth="1" min="12" max="12"/>
  </cols>
  <sheetData>
    <row r="1" ht="26" customHeight="1">
      <c r="A1" s="1" t="inlineStr">
        <is>
          <t>Current Contractor Programme - Native and Screenshot Review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Field</t>
        </is>
      </c>
      <c r="B3" s="6" t="inlineStr">
        <is>
          <t>Value</t>
        </is>
      </c>
      <c r="C3" s="6" t="inlineStr">
        <is>
          <t>Assurance status</t>
        </is>
      </c>
      <c r="D3" s="6" t="inlineStr">
        <is>
          <t>Comment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Native MPP file</t>
        </is>
      </c>
      <c r="B4" s="5" t="inlineStr">
        <is>
          <t>AAB Program (June 26).mpp</t>
        </is>
      </c>
      <c r="C4" s="5" t="inlineStr">
        <is>
          <t>Supplied</t>
        </is>
      </c>
      <c r="D4" s="5" t="inlineStr">
        <is>
          <t>Native file inventoried; task extraction included below if available.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Programme typical bent cycle</t>
        </is>
      </c>
      <c r="B5" s="5" t="inlineStr">
        <is>
          <t>14-15 calendar days</t>
        </is>
      </c>
      <c r="C5" s="5" t="inlineStr">
        <is>
          <t>Cross-checked</t>
        </is>
      </c>
      <c r="D5" s="5" t="inlineStr">
        <is>
          <t>Matches supplied programme screenshots; do not relabel as 16 working days.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5" t="inlineStr">
        <is>
          <t>Scaffold sets physically reported</t>
        </is>
      </c>
      <c r="B6" s="5" t="inlineStr">
        <is>
          <t>4 sets</t>
        </is>
      </c>
      <c r="C6" s="5" t="inlineStr">
        <is>
          <t>Project evidence</t>
        </is>
      </c>
      <c r="D6" s="5" t="inlineStr">
        <is>
          <t>Do not infer access inventory from total WIP.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5" t="inlineStr">
        <is>
          <t>Peak bents concurrently in progress</t>
        </is>
      </c>
      <c r="B7" s="5" t="inlineStr">
        <is>
          <t>Up to 9</t>
        </is>
      </c>
      <c r="C7" s="5" t="inlineStr">
        <is>
          <t>Programme observation</t>
        </is>
      </c>
      <c r="D7" s="5" t="inlineStr">
        <is>
          <t>WIP is not the same as nine scaffold sets.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5" t="inlineStr">
        <is>
          <t>Planned production order</t>
        </is>
      </c>
      <c r="B8" s="5" t="inlineStr">
        <is>
          <t>Approximately 2 bents/week</t>
        </is>
      </c>
      <c r="C8" s="5" t="inlineStr">
        <is>
          <t>Client/programme basis</t>
        </is>
      </c>
      <c r="D8" s="5" t="inlineStr">
        <is>
          <t>Confirm against final baseline and current reforecast.</t>
        </is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5" t="inlineStr">
        <is>
          <t>Native critical path</t>
        </is>
      </c>
      <c r="B9" s="5" t="inlineStr">
        <is>
          <t>Not independently verified</t>
        </is>
      </c>
      <c r="C9" s="5" t="inlineStr">
        <is>
          <t>Clearance limitation</t>
        </is>
      </c>
      <c r="D9" s="5" t="inlineStr">
        <is>
          <t>Task links/calendars/constraints/float need planner-issued export.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30" customHeight="1">
      <c r="A12" s="6" t="inlineStr">
        <is>
          <t>UID</t>
        </is>
      </c>
      <c r="B12" s="6" t="inlineStr">
        <is>
          <t>ID</t>
        </is>
      </c>
      <c r="C12" s="6" t="inlineStr">
        <is>
          <t>Task name</t>
        </is>
      </c>
      <c r="D12" s="6" t="inlineStr">
        <is>
          <t>Duration</t>
        </is>
      </c>
      <c r="E12" s="6" t="inlineStr">
        <is>
          <t>Start</t>
        </is>
      </c>
      <c r="F12" s="6" t="inlineStr">
        <is>
          <t>Finish</t>
        </is>
      </c>
      <c r="G12" s="6" t="inlineStr">
        <is>
          <t>Actual start</t>
        </is>
      </c>
      <c r="H12" s="6" t="inlineStr">
        <is>
          <t>Actual finish</t>
        </is>
      </c>
      <c r="I12" s="6" t="inlineStr">
        <is>
          <t>% complete</t>
        </is>
      </c>
      <c r="J12" s="6" t="inlineStr">
        <is>
          <t>Critical</t>
        </is>
      </c>
      <c r="K12" s="6" t="inlineStr">
        <is>
          <t>Summary</t>
        </is>
      </c>
      <c r="L12" s="6" t="inlineStr">
        <is>
          <t>Total slack</t>
        </is>
      </c>
    </row>
    <row r="13">
      <c r="A13" s="5" t="inlineStr">
        <is>
          <t>NOT EXTRACTED</t>
        </is>
      </c>
      <c r="B13" s="2" t="n"/>
      <c r="C13" s="5" t="inlineStr">
        <is>
          <t>Native MPP task table unavailable to this build; use screenshot-validated summary above.</t>
        </is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20" t="n"/>
    </row>
  </sheetData>
  <mergeCells count="2">
    <mergeCell ref="C13:L13"/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8" customWidth="1" min="3" max="3"/>
    <col width="34" customWidth="1" min="4" max="4"/>
    <col width="12" customWidth="1" min="5" max="5"/>
    <col width="22" customWidth="1" min="6" max="6"/>
    <col width="18" customWidth="1" min="7" max="7"/>
    <col width="19" customWidth="1" min="8" max="8"/>
    <col width="21" customWidth="1" min="9" max="9"/>
    <col width="19" customWidth="1" min="10" max="10"/>
    <col width="30" customWidth="1" min="11" max="11"/>
    <col width="55" customWidth="1" min="12" max="12"/>
    <col width="13" customWidth="1" min="13" max="13"/>
  </cols>
  <sheetData>
    <row r="1" ht="26" customHeight="1">
      <c r="A1" s="1" t="inlineStr">
        <is>
          <t>Proposed Marine Access Methodology - Detailed Activity Library</t>
        </is>
      </c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0" customHeight="1">
      <c r="A3" s="6" t="inlineStr">
        <is>
          <t>WBS</t>
        </is>
      </c>
      <c r="B3" s="6" t="inlineStr">
        <is>
          <t>Phase</t>
        </is>
      </c>
      <c r="C3" s="6" t="inlineStr">
        <is>
          <t>Activity</t>
        </is>
      </c>
      <c r="D3" s="6" t="inlineStr">
        <is>
          <t>Workfront / crew</t>
        </is>
      </c>
      <c r="E3" s="6" t="inlineStr">
        <is>
          <t>Unit</t>
        </is>
      </c>
      <c r="F3" s="6" t="inlineStr">
        <is>
          <t>Qty per typical bent</t>
        </is>
      </c>
      <c r="G3" s="6" t="inlineStr">
        <is>
          <t>Active shifts</t>
        </is>
      </c>
      <c r="H3" s="6" t="inlineStr">
        <is>
          <t>Elapsed hold days</t>
        </is>
      </c>
      <c r="I3" s="6" t="inlineStr">
        <is>
          <t>Occupies access set</t>
        </is>
      </c>
      <c r="J3" s="6" t="inlineStr">
        <is>
          <t>Can overlap ahead</t>
        </is>
      </c>
      <c r="K3" s="6" t="inlineStr">
        <is>
          <t>Basis class</t>
        </is>
      </c>
      <c r="L3" s="6" t="inlineStr">
        <is>
          <t>Source / verification</t>
        </is>
      </c>
      <c r="M3" s="6" t="inlineStr">
        <is>
          <t>Cost code</t>
        </is>
      </c>
    </row>
    <row r="4">
      <c r="A4" s="5" t="inlineStr">
        <is>
          <t>1.1</t>
        </is>
      </c>
      <c r="B4" s="5" t="inlineStr">
        <is>
          <t>Engineering</t>
        </is>
      </c>
      <c r="C4" s="5" t="inlineStr">
        <is>
          <t>Bathymetric and seabed survey</t>
        </is>
      </c>
      <c r="D4" s="5" t="inlineStr">
        <is>
          <t>Survey contractor</t>
        </is>
      </c>
      <c r="E4" s="5" t="inlineStr">
        <is>
          <t>campaign</t>
        </is>
      </c>
      <c r="F4" s="5" t="n">
        <v>1</v>
      </c>
      <c r="G4" s="8" t="n"/>
      <c r="H4" s="8" t="n"/>
      <c r="I4" s="5" t="inlineStr">
        <is>
          <t>No</t>
        </is>
      </c>
      <c r="J4" s="5" t="inlineStr">
        <is>
          <t>Yes</t>
        </is>
      </c>
      <c r="K4" s="5" t="inlineStr">
        <is>
          <t>Open input</t>
        </is>
      </c>
      <c r="L4" s="5" t="inlineStr">
        <is>
          <t>STL RFI / supplier requirements</t>
        </is>
      </c>
      <c r="M4" s="5" t="inlineStr">
        <is>
          <t>ENG-SURV</t>
        </is>
      </c>
    </row>
    <row r="5">
      <c r="A5" s="5" t="inlineStr">
        <is>
          <t>1.2</t>
        </is>
      </c>
      <c r="B5" s="5" t="inlineStr">
        <is>
          <t>Engineering</t>
        </is>
      </c>
      <c r="C5" s="5" t="inlineStr">
        <is>
          <t>Temporary works design: hang-off, sliding clamps, platforms and traversing decks</t>
        </is>
      </c>
      <c r="D5" s="5" t="inlineStr">
        <is>
          <t>RPEQ/TW engineer</t>
        </is>
      </c>
      <c r="E5" s="5" t="inlineStr">
        <is>
          <t>campaign</t>
        </is>
      </c>
      <c r="F5" s="5" t="n">
        <v>1</v>
      </c>
      <c r="G5" s="8" t="n"/>
      <c r="H5" s="8" t="n"/>
      <c r="I5" s="5" t="inlineStr">
        <is>
          <t>No</t>
        </is>
      </c>
      <c r="J5" s="5" t="inlineStr">
        <is>
          <t>Yes</t>
        </is>
      </c>
      <c r="K5" s="5" t="inlineStr">
        <is>
          <t>Open input</t>
        </is>
      </c>
      <c r="L5" s="5" t="inlineStr">
        <is>
          <t>Supplier data required</t>
        </is>
      </c>
      <c r="M5" s="5" t="inlineStr">
        <is>
          <t>ENG-TW</t>
        </is>
      </c>
    </row>
    <row r="6">
      <c r="A6" s="5" t="inlineStr">
        <is>
          <t>1.3</t>
        </is>
      </c>
      <c r="B6" s="5" t="inlineStr">
        <is>
          <t>Engineering</t>
        </is>
      </c>
      <c r="C6" s="5" t="inlineStr">
        <is>
          <t>Containment design and environmental acceptance</t>
        </is>
      </c>
      <c r="D6" s="5" t="inlineStr">
        <is>
          <t>Containment supplier / HSE</t>
        </is>
      </c>
      <c r="E6" s="5" t="inlineStr">
        <is>
          <t>campaign</t>
        </is>
      </c>
      <c r="F6" s="5" t="n">
        <v>1</v>
      </c>
      <c r="G6" s="8" t="n"/>
      <c r="H6" s="8" t="n"/>
      <c r="I6" s="5" t="inlineStr">
        <is>
          <t>No</t>
        </is>
      </c>
      <c r="J6" s="5" t="inlineStr">
        <is>
          <t>Yes</t>
        </is>
      </c>
      <c r="K6" s="5" t="inlineStr">
        <is>
          <t>Open input</t>
        </is>
      </c>
      <c r="L6" s="5" t="inlineStr">
        <is>
          <t>Supplier design required</t>
        </is>
      </c>
      <c r="M6" s="5" t="inlineStr">
        <is>
          <t>ENG-CONT</t>
        </is>
      </c>
    </row>
    <row r="7">
      <c r="A7" s="5" t="inlineStr">
        <is>
          <t>1.4</t>
        </is>
      </c>
      <c r="B7" s="5" t="inlineStr">
        <is>
          <t>Engineering</t>
        </is>
      </c>
      <c r="C7" s="5" t="inlineStr">
        <is>
          <t>Marine operations plan, SIMOPS, rescue, ship and cyclone response</t>
        </is>
      </c>
      <c r="D7" s="5" t="inlineStr">
        <is>
          <t>Marine engineer</t>
        </is>
      </c>
      <c r="E7" s="5" t="inlineStr">
        <is>
          <t>campaign</t>
        </is>
      </c>
      <c r="F7" s="5" t="n">
        <v>1</v>
      </c>
      <c r="G7" s="8" t="n"/>
      <c r="H7" s="8" t="n"/>
      <c r="I7" s="5" t="inlineStr">
        <is>
          <t>No</t>
        </is>
      </c>
      <c r="J7" s="5" t="inlineStr">
        <is>
          <t>Yes</t>
        </is>
      </c>
      <c r="K7" s="5" t="inlineStr">
        <is>
          <t>Open input</t>
        </is>
      </c>
      <c r="L7" s="5" t="inlineStr">
        <is>
          <t>Stage 1 deliverable</t>
        </is>
      </c>
      <c r="M7" s="5" t="inlineStr">
        <is>
          <t>ENG-MAR</t>
        </is>
      </c>
    </row>
    <row r="8">
      <c r="A8" s="5" t="inlineStr">
        <is>
          <t>2.1</t>
        </is>
      </c>
      <c r="B8" s="5" t="inlineStr">
        <is>
          <t>Mobilisation</t>
        </is>
      </c>
      <c r="C8" s="5" t="inlineStr">
        <is>
          <t>Transport and assemble modular platforms</t>
        </is>
      </c>
      <c r="D8" s="5" t="inlineStr">
        <is>
          <t>GGC / rigging crew</t>
        </is>
      </c>
      <c r="E8" s="5" t="inlineStr">
        <is>
          <t>access set</t>
        </is>
      </c>
      <c r="F8" s="5" t="n">
        <v>1</v>
      </c>
      <c r="G8" s="8" t="n"/>
      <c r="H8" s="8" t="n"/>
      <c r="I8" s="5" t="inlineStr">
        <is>
          <t>No</t>
        </is>
      </c>
      <c r="J8" s="5" t="inlineStr">
        <is>
          <t>Yes</t>
        </is>
      </c>
      <c r="K8" s="5" t="inlineStr">
        <is>
          <t>Supplier input</t>
        </is>
      </c>
      <c r="L8" s="5" t="inlineStr">
        <is>
          <t>GGC rates and Hansen drawings</t>
        </is>
      </c>
      <c r="M8" s="5" t="inlineStr">
        <is>
          <t>MOB-PLAT</t>
        </is>
      </c>
    </row>
    <row r="9">
      <c r="A9" s="5" t="inlineStr">
        <is>
          <t>2.2</t>
        </is>
      </c>
      <c r="B9" s="5" t="inlineStr">
        <is>
          <t>Mobilisation</t>
        </is>
      </c>
      <c r="C9" s="5" t="inlineStr">
        <is>
          <t>Install winches, travelling supports and controls</t>
        </is>
      </c>
      <c r="D9" s="5" t="inlineStr">
        <is>
          <t>GGC / electricians / riggers</t>
        </is>
      </c>
      <c r="E9" s="5" t="inlineStr">
        <is>
          <t>access set</t>
        </is>
      </c>
      <c r="F9" s="5" t="n">
        <v>1</v>
      </c>
      <c r="G9" s="8" t="n"/>
      <c r="H9" s="8" t="n"/>
      <c r="I9" s="5" t="inlineStr">
        <is>
          <t>No</t>
        </is>
      </c>
      <c r="J9" s="5" t="inlineStr">
        <is>
          <t>Yes</t>
        </is>
      </c>
      <c r="K9" s="5" t="inlineStr">
        <is>
          <t>Supplier input</t>
        </is>
      </c>
      <c r="L9" s="5" t="inlineStr">
        <is>
          <t>GGC written confirmation required</t>
        </is>
      </c>
      <c r="M9" s="5" t="inlineStr">
        <is>
          <t>MOB-WINCH</t>
        </is>
      </c>
    </row>
    <row r="10">
      <c r="A10" s="5" t="inlineStr">
        <is>
          <t>2.3</t>
        </is>
      </c>
      <c r="B10" s="5" t="inlineStr">
        <is>
          <t>Mobilisation</t>
        </is>
      </c>
      <c r="C10" s="5" t="inlineStr">
        <is>
          <t>Assemble traversing decks and containment halves</t>
        </is>
      </c>
      <c r="D10" s="5" t="inlineStr">
        <is>
          <t>Access / containment crew</t>
        </is>
      </c>
      <c r="E10" s="5" t="inlineStr">
        <is>
          <t>access set</t>
        </is>
      </c>
      <c r="F10" s="5" t="n">
        <v>1</v>
      </c>
      <c r="G10" s="8" t="n"/>
      <c r="H10" s="8" t="n"/>
      <c r="I10" s="5" t="inlineStr">
        <is>
          <t>No</t>
        </is>
      </c>
      <c r="J10" s="5" t="inlineStr">
        <is>
          <t>Yes</t>
        </is>
      </c>
      <c r="K10" s="5" t="inlineStr">
        <is>
          <t>Supplier input</t>
        </is>
      </c>
      <c r="L10" s="5" t="inlineStr">
        <is>
          <t>Supplier design required</t>
        </is>
      </c>
      <c r="M10" s="5" t="inlineStr">
        <is>
          <t>MOB-CONT</t>
        </is>
      </c>
    </row>
    <row r="11">
      <c r="A11" s="5" t="inlineStr">
        <is>
          <t>2.4</t>
        </is>
      </c>
      <c r="B11" s="5" t="inlineStr">
        <is>
          <t>Mobilisation</t>
        </is>
      </c>
      <c r="C11" s="5" t="inlineStr">
        <is>
          <t>Proof load, function test and rescue drill</t>
        </is>
      </c>
      <c r="D11" s="5" t="inlineStr">
        <is>
          <t>TW engineer / marine crew</t>
        </is>
      </c>
      <c r="E11" s="5" t="inlineStr">
        <is>
          <t>access set</t>
        </is>
      </c>
      <c r="F11" s="5" t="n">
        <v>1</v>
      </c>
      <c r="G11" s="8" t="n"/>
      <c r="H11" s="8" t="n"/>
      <c r="I11" s="5" t="inlineStr">
        <is>
          <t>No</t>
        </is>
      </c>
      <c r="J11" s="5" t="inlineStr">
        <is>
          <t>Yes</t>
        </is>
      </c>
      <c r="K11" s="5" t="inlineStr">
        <is>
          <t>Required gate</t>
        </is>
      </c>
      <c r="L11" s="5" t="inlineStr">
        <is>
          <t>Before first use</t>
        </is>
      </c>
      <c r="M11" s="5" t="inlineStr">
        <is>
          <t>MOB-TEST</t>
        </is>
      </c>
    </row>
    <row r="12">
      <c r="A12" s="5" t="inlineStr">
        <is>
          <t>3.1</t>
        </is>
      </c>
      <c r="B12" s="5" t="inlineStr">
        <is>
          <t>Advance rigging</t>
        </is>
      </c>
      <c r="C12" s="5" t="inlineStr">
        <is>
          <t>Install/advance hang-off and clamp package at next bent</t>
        </is>
      </c>
      <c r="D12" s="5" t="inlineStr">
        <is>
          <t>Rigging crew</t>
        </is>
      </c>
      <c r="E12" s="5" t="inlineStr">
        <is>
          <t>bent</t>
        </is>
      </c>
      <c r="F12" s="5" t="n">
        <v>1</v>
      </c>
      <c r="G12" s="9" t="n">
        <v>0.4</v>
      </c>
      <c r="H12" s="5" t="n">
        <v>0</v>
      </c>
      <c r="I12" s="5" t="inlineStr">
        <is>
          <t>No</t>
        </is>
      </c>
      <c r="J12" s="5" t="inlineStr">
        <is>
          <t>Yes</t>
        </is>
      </c>
      <c r="K12" s="5" t="inlineStr">
        <is>
          <t>Engineering assumption</t>
        </is>
      </c>
      <c r="L12" s="5" t="inlineStr">
        <is>
          <t>4 h share in relocation model</t>
        </is>
      </c>
      <c r="M12" s="5" t="inlineStr">
        <is>
          <t>REL-RIG</t>
        </is>
      </c>
    </row>
    <row r="13">
      <c r="A13" s="5" t="inlineStr">
        <is>
          <t>3.2</t>
        </is>
      </c>
      <c r="B13" s="5" t="inlineStr">
        <is>
          <t>Relocation</t>
        </is>
      </c>
      <c r="C13" s="5" t="inlineStr">
        <is>
          <t>Disconnect services and lower platform pair</t>
        </is>
      </c>
      <c r="D13" s="5" t="inlineStr">
        <is>
          <t>Platform crew</t>
        </is>
      </c>
      <c r="E13" s="5" t="inlineStr">
        <is>
          <t>bent</t>
        </is>
      </c>
      <c r="F13" s="5" t="n">
        <v>1</v>
      </c>
      <c r="G13" s="9" t="n">
        <v>0.1</v>
      </c>
      <c r="H13" s="5" t="n">
        <v>0</v>
      </c>
      <c r="I13" s="5" t="inlineStr">
        <is>
          <t>Yes</t>
        </is>
      </c>
      <c r="J13" s="5" t="inlineStr">
        <is>
          <t>No</t>
        </is>
      </c>
      <c r="K13" s="5" t="inlineStr">
        <is>
          <t>Engineering assumption</t>
        </is>
      </c>
      <c r="L13" s="5" t="inlineStr">
        <is>
          <t>1 h</t>
        </is>
      </c>
      <c r="M13" s="5" t="inlineStr">
        <is>
          <t>REL-LOWER</t>
        </is>
      </c>
    </row>
    <row r="14">
      <c r="A14" s="5" t="inlineStr">
        <is>
          <t>3.3</t>
        </is>
      </c>
      <c r="B14" s="5" t="inlineStr">
        <is>
          <t>Relocation</t>
        </is>
      </c>
      <c r="C14" s="5" t="inlineStr">
        <is>
          <t>Tow platform pair to next bent</t>
        </is>
      </c>
      <c r="D14" s="5" t="inlineStr">
        <is>
          <t>Workboat / platform crew</t>
        </is>
      </c>
      <c r="E14" s="5" t="inlineStr">
        <is>
          <t>bent</t>
        </is>
      </c>
      <c r="F14" s="5" t="n">
        <v>1</v>
      </c>
      <c r="G14" s="9" t="n">
        <v>0.2</v>
      </c>
      <c r="H14" s="5" t="n">
        <v>0</v>
      </c>
      <c r="I14" s="5" t="inlineStr">
        <is>
          <t>Yes</t>
        </is>
      </c>
      <c r="J14" s="5" t="inlineStr">
        <is>
          <t>No</t>
        </is>
      </c>
      <c r="K14" s="5" t="inlineStr">
        <is>
          <t>Engineering assumption</t>
        </is>
      </c>
      <c r="L14" s="5" t="inlineStr">
        <is>
          <t>2 h</t>
        </is>
      </c>
      <c r="M14" s="5" t="inlineStr">
        <is>
          <t>REL-TOW</t>
        </is>
      </c>
    </row>
    <row r="15">
      <c r="A15" s="5" t="inlineStr">
        <is>
          <t>3.4</t>
        </is>
      </c>
      <c r="B15" s="5" t="inlineStr">
        <is>
          <t>Relocation</t>
        </is>
      </c>
      <c r="C15" s="5" t="inlineStr">
        <is>
          <t>Position, hook-on, lift, level and restrain</t>
        </is>
      </c>
      <c r="D15" s="5" t="inlineStr">
        <is>
          <t>Platform crew / workboat</t>
        </is>
      </c>
      <c r="E15" s="5" t="inlineStr">
        <is>
          <t>bent</t>
        </is>
      </c>
      <c r="F15" s="5" t="n">
        <v>1</v>
      </c>
      <c r="G15" s="9" t="n">
        <v>0.2</v>
      </c>
      <c r="H15" s="5" t="n">
        <v>0</v>
      </c>
      <c r="I15" s="5" t="inlineStr">
        <is>
          <t>Yes</t>
        </is>
      </c>
      <c r="J15" s="5" t="inlineStr">
        <is>
          <t>No</t>
        </is>
      </c>
      <c r="K15" s="5" t="inlineStr">
        <is>
          <t>Engineering assumption</t>
        </is>
      </c>
      <c r="L15" s="5" t="inlineStr">
        <is>
          <t>2 h</t>
        </is>
      </c>
      <c r="M15" s="5" t="inlineStr">
        <is>
          <t>REL-LIFT</t>
        </is>
      </c>
    </row>
    <row r="16">
      <c r="A16" s="5" t="inlineStr">
        <is>
          <t>3.5</t>
        </is>
      </c>
      <c r="B16" s="5" t="inlineStr">
        <is>
          <t>Relocation</t>
        </is>
      </c>
      <c r="C16" s="5" t="inlineStr">
        <is>
          <t>Move and secure access tower</t>
        </is>
      </c>
      <c r="D16" s="5" t="inlineStr">
        <is>
          <t>JUB crane / riggers</t>
        </is>
      </c>
      <c r="E16" s="5" t="inlineStr">
        <is>
          <t>bent</t>
        </is>
      </c>
      <c r="F16" s="5" t="n">
        <v>1</v>
      </c>
      <c r="G16" s="9" t="n">
        <v>0.1</v>
      </c>
      <c r="H16" s="5" t="n">
        <v>0</v>
      </c>
      <c r="I16" s="5" t="inlineStr">
        <is>
          <t>Yes</t>
        </is>
      </c>
      <c r="J16" s="5" t="inlineStr">
        <is>
          <t>No</t>
        </is>
      </c>
      <c r="K16" s="5" t="inlineStr">
        <is>
          <t>Engineering assumption</t>
        </is>
      </c>
      <c r="L16" s="5" t="inlineStr">
        <is>
          <t>1 h</t>
        </is>
      </c>
      <c r="M16" s="5" t="inlineStr">
        <is>
          <t>REL-TOWER</t>
        </is>
      </c>
    </row>
    <row r="17">
      <c r="A17" s="5" t="inlineStr">
        <is>
          <t>3.6</t>
        </is>
      </c>
      <c r="B17" s="5" t="inlineStr">
        <is>
          <t>Relocation</t>
        </is>
      </c>
      <c r="C17" s="5" t="inlineStr">
        <is>
          <t>Install traversing decks, services and commissioning checks</t>
        </is>
      </c>
      <c r="D17" s="5" t="inlineStr">
        <is>
          <t>Platform crew</t>
        </is>
      </c>
      <c r="E17" s="5" t="inlineStr">
        <is>
          <t>bent</t>
        </is>
      </c>
      <c r="F17" s="5" t="n">
        <v>1</v>
      </c>
      <c r="G17" s="9" t="n">
        <v>0.1</v>
      </c>
      <c r="H17" s="5" t="n">
        <v>0</v>
      </c>
      <c r="I17" s="5" t="inlineStr">
        <is>
          <t>Yes</t>
        </is>
      </c>
      <c r="J17" s="5" t="inlineStr">
        <is>
          <t>No</t>
        </is>
      </c>
      <c r="K17" s="5" t="inlineStr">
        <is>
          <t>Engineering assumption</t>
        </is>
      </c>
      <c r="L17" s="5" t="inlineStr">
        <is>
          <t>1 h</t>
        </is>
      </c>
      <c r="M17" s="5" t="inlineStr">
        <is>
          <t>REL-SERVICE</t>
        </is>
      </c>
    </row>
    <row r="18">
      <c r="A18" s="5" t="inlineStr">
        <is>
          <t>4.1</t>
        </is>
      </c>
      <c r="B18" s="5" t="inlineStr">
        <is>
          <t>Diagnostic</t>
        </is>
      </c>
      <c r="C18" s="5" t="inlineStr">
        <is>
          <t>Remove existing wrapping, wash, inspect and UT</t>
        </is>
      </c>
      <c r="D18" s="5" t="inlineStr">
        <is>
          <t>Survey / inspection crew</t>
        </is>
      </c>
      <c r="E18" s="5" t="inlineStr">
        <is>
          <t>bent</t>
        </is>
      </c>
      <c r="F18" s="5" t="n">
        <v>1</v>
      </c>
      <c r="G18" s="9" t="n">
        <v>1</v>
      </c>
      <c r="H18" s="5" t="n">
        <v>0</v>
      </c>
      <c r="I18" s="5" t="inlineStr">
        <is>
          <t>Yes</t>
        </is>
      </c>
      <c r="J18" s="5" t="inlineStr">
        <is>
          <t>No</t>
        </is>
      </c>
      <c r="K18" s="5" t="inlineStr">
        <is>
          <t>Project/programme basis</t>
        </is>
      </c>
      <c r="L18" s="5" t="inlineStr">
        <is>
          <t>Inspection front</t>
        </is>
      </c>
      <c r="M18" s="5" t="inlineStr">
        <is>
          <t>DIAG-INSP</t>
        </is>
      </c>
    </row>
    <row r="19">
      <c r="A19" s="5" t="inlineStr">
        <is>
          <t>4.2</t>
        </is>
      </c>
      <c r="B19" s="5" t="inlineStr">
        <is>
          <t>Diagnostic</t>
        </is>
      </c>
      <c r="C19" s="5" t="inlineStr">
        <is>
          <t>Install half-shell and diagnostic blast both upper pile bands</t>
        </is>
      </c>
      <c r="D19" s="5" t="inlineStr">
        <is>
          <t>Blast crew</t>
        </is>
      </c>
      <c r="E19" s="5" t="inlineStr">
        <is>
          <t>27-29 m2</t>
        </is>
      </c>
      <c r="F19" s="5" t="n">
        <v>1</v>
      </c>
      <c r="G19" s="9" t="n">
        <v>1</v>
      </c>
      <c r="H19" s="5" t="n">
        <v>0</v>
      </c>
      <c r="I19" s="5" t="inlineStr">
        <is>
          <t>Yes</t>
        </is>
      </c>
      <c r="J19" s="5" t="inlineStr">
        <is>
          <t>No</t>
        </is>
      </c>
      <c r="K19" s="5" t="inlineStr">
        <is>
          <t>Engineering assumption</t>
        </is>
      </c>
      <c r="L19" s="5" t="inlineStr">
        <is>
          <t>One shift conservative allowance incl moves/QA</t>
        </is>
      </c>
      <c r="M19" s="5" t="inlineStr">
        <is>
          <t>DIAG-BLAST</t>
        </is>
      </c>
    </row>
    <row r="20">
      <c r="A20" s="5" t="inlineStr">
        <is>
          <t>4.3</t>
        </is>
      </c>
      <c r="B20" s="5" t="inlineStr">
        <is>
          <t>Diagnostic</t>
        </is>
      </c>
      <c r="C20" s="5" t="inlineStr">
        <is>
          <t>Headstock diagnostic preparation and mark-up</t>
        </is>
      </c>
      <c r="D20" s="5" t="inlineStr">
        <is>
          <t>Blast / inspection crew</t>
        </is>
      </c>
      <c r="E20" s="5" t="inlineStr">
        <is>
          <t>bent</t>
        </is>
      </c>
      <c r="F20" s="5" t="n">
        <v>1</v>
      </c>
      <c r="G20" s="8" t="n"/>
      <c r="H20" s="8" t="n"/>
      <c r="I20" s="5" t="inlineStr">
        <is>
          <t>Yes</t>
        </is>
      </c>
      <c r="J20" s="5" t="inlineStr">
        <is>
          <t>No</t>
        </is>
      </c>
      <c r="K20" s="5" t="inlineStr">
        <is>
          <t>NOT MODELLED</t>
        </is>
      </c>
      <c r="L20" s="5" t="inlineStr">
        <is>
          <t>Headstock enclosure method required</t>
        </is>
      </c>
      <c r="M20" s="5" t="inlineStr">
        <is>
          <t>DIAG-HEAD</t>
        </is>
      </c>
    </row>
    <row r="21">
      <c r="A21" s="5" t="inlineStr">
        <is>
          <t>4.4</t>
        </is>
      </c>
      <c r="B21" s="5" t="inlineStr">
        <is>
          <t>Diagnostic</t>
        </is>
      </c>
      <c r="C21" s="5" t="inlineStr">
        <is>
          <t>Mark-up both piles and headstock; prepare bent repair package</t>
        </is>
      </c>
      <c r="D21" s="5" t="inlineStr">
        <is>
          <t>Engineer / inspector</t>
        </is>
      </c>
      <c r="E21" s="5" t="inlineStr">
        <is>
          <t>bent</t>
        </is>
      </c>
      <c r="F21" s="5" t="n">
        <v>1</v>
      </c>
      <c r="G21" s="9" t="n">
        <v>0.5</v>
      </c>
      <c r="H21" s="5" t="n">
        <v>0</v>
      </c>
      <c r="I21" s="5" t="inlineStr">
        <is>
          <t>Yes</t>
        </is>
      </c>
      <c r="J21" s="5" t="inlineStr">
        <is>
          <t>No</t>
        </is>
      </c>
      <c r="K21" s="5" t="inlineStr">
        <is>
          <t>Engineering assumption</t>
        </is>
      </c>
      <c r="L21" s="5" t="inlineStr">
        <is>
          <t>Bent-level submission basis requires confirmation</t>
        </is>
      </c>
      <c r="M21" s="5" t="inlineStr">
        <is>
          <t>DIAG-MARK</t>
        </is>
      </c>
    </row>
    <row r="22">
      <c r="A22" s="5" t="inlineStr">
        <is>
          <t>4.5</t>
        </is>
      </c>
      <c r="B22" s="5" t="inlineStr">
        <is>
          <t>Approval</t>
        </is>
      </c>
      <c r="C22" s="5" t="inlineStr">
        <is>
          <t>Bent-level repair design review and approval hold</t>
        </is>
      </c>
      <c r="D22" s="5" t="inlineStr">
        <is>
          <t>Reviewing engineer / STL</t>
        </is>
      </c>
      <c r="E22" s="5" t="inlineStr">
        <is>
          <t>bent</t>
        </is>
      </c>
      <c r="F22" s="5" t="n">
        <v>1</v>
      </c>
      <c r="G22" s="9" t="n">
        <v>0</v>
      </c>
      <c r="H22" s="5" t="n">
        <v>3</v>
      </c>
      <c r="I22" s="5" t="inlineStr">
        <is>
          <t>Yes</t>
        </is>
      </c>
      <c r="J22" s="5" t="inlineStr">
        <is>
          <t>Yes elsewhere</t>
        </is>
      </c>
      <c r="K22" s="5" t="inlineStr">
        <is>
          <t>Programme basis / assumption</t>
        </is>
      </c>
      <c r="L22" s="5" t="inlineStr">
        <is>
          <t>One hold assumes full bent exposed first</t>
        </is>
      </c>
      <c r="M22" s="5" t="inlineStr">
        <is>
          <t>APP-HOLD</t>
        </is>
      </c>
    </row>
    <row r="23">
      <c r="A23" s="5" t="inlineStr">
        <is>
          <t>5.1</t>
        </is>
      </c>
      <c r="B23" s="5" t="inlineStr">
        <is>
          <t>Repair</t>
        </is>
      </c>
      <c r="C23" s="5" t="inlineStr">
        <is>
          <t>Repair steel detail, prefabrication and delivery</t>
        </is>
      </c>
      <c r="D23" s="5" t="inlineStr">
        <is>
          <t>Fabrication crew</t>
        </is>
      </c>
      <c r="E23" s="5" t="inlineStr">
        <is>
          <t>lm</t>
        </is>
      </c>
      <c r="F23" s="5" t="n">
        <v>53</v>
      </c>
      <c r="G23" s="9" t="n">
        <v>0</v>
      </c>
      <c r="H23" s="5" t="n">
        <v>0</v>
      </c>
      <c r="I23" s="5" t="inlineStr">
        <is>
          <t>No</t>
        </is>
      </c>
      <c r="J23" s="5" t="inlineStr">
        <is>
          <t>Yes</t>
        </is>
      </c>
      <c r="K23" s="5" t="inlineStr">
        <is>
          <t>Client payment quantity</t>
        </is>
      </c>
      <c r="L23" s="5" t="inlineStr">
        <is>
          <t>Prefabricate from approved package</t>
        </is>
      </c>
      <c r="M23" s="5" t="inlineStr">
        <is>
          <t>REP-FAB</t>
        </is>
      </c>
    </row>
    <row r="24">
      <c r="A24" s="5" t="inlineStr">
        <is>
          <t>5.2</t>
        </is>
      </c>
      <c r="B24" s="5" t="inlineStr">
        <is>
          <t>Repair</t>
        </is>
      </c>
      <c r="C24" s="5" t="inlineStr">
        <is>
          <t>Pile 1 fit-up, welding, NDT and rectification</t>
        </is>
      </c>
      <c r="D24" s="5" t="inlineStr">
        <is>
          <t>Weld crews</t>
        </is>
      </c>
      <c r="E24" s="5" t="inlineStr">
        <is>
          <t>lm</t>
        </is>
      </c>
      <c r="F24" s="5" t="n">
        <v>26.5</v>
      </c>
      <c r="G24" s="10">
        <f>53/(2*6)/2</f>
        <v/>
      </c>
      <c r="H24" s="5" t="n">
        <v>0</v>
      </c>
      <c r="I24" s="5" t="inlineStr">
        <is>
          <t>Yes</t>
        </is>
      </c>
      <c r="J24" s="5" t="inlineStr">
        <is>
          <t>No</t>
        </is>
      </c>
      <c r="K24" s="5" t="inlineStr">
        <is>
          <t>Sensitivity</t>
        </is>
      </c>
      <c r="L24" s="5" t="inlineStr">
        <is>
          <t>2 crews x 6 accepted lm/crew-shift base</t>
        </is>
      </c>
      <c r="M24" s="5" t="inlineStr">
        <is>
          <t>REP-WELD</t>
        </is>
      </c>
    </row>
    <row r="25">
      <c r="A25" s="5" t="inlineStr">
        <is>
          <t>5.3</t>
        </is>
      </c>
      <c r="B25" s="5" t="inlineStr">
        <is>
          <t>Repair</t>
        </is>
      </c>
      <c r="C25" s="5" t="inlineStr">
        <is>
          <t>Pile 1 post-weld preparation</t>
        </is>
      </c>
      <c r="D25" s="5" t="inlineStr">
        <is>
          <t>Blast/prep crew</t>
        </is>
      </c>
      <c r="E25" s="5" t="inlineStr">
        <is>
          <t>pile</t>
        </is>
      </c>
      <c r="F25" s="5" t="n">
        <v>1</v>
      </c>
      <c r="G25" s="9" t="n">
        <v>0.25</v>
      </c>
      <c r="H25" s="5" t="n">
        <v>0</v>
      </c>
      <c r="I25" s="5" t="inlineStr">
        <is>
          <t>Yes</t>
        </is>
      </c>
      <c r="J25" s="5" t="inlineStr">
        <is>
          <t>No</t>
        </is>
      </c>
      <c r="K25" s="5" t="inlineStr">
        <is>
          <t>Engineering assumption</t>
        </is>
      </c>
      <c r="L25" s="5" t="inlineStr">
        <is>
          <t>To verify at trial</t>
        </is>
      </c>
      <c r="M25" s="5" t="inlineStr">
        <is>
          <t>REP-PREP</t>
        </is>
      </c>
    </row>
    <row r="26">
      <c r="A26" s="5" t="inlineStr">
        <is>
          <t>5.4</t>
        </is>
      </c>
      <c r="B26" s="5" t="inlineStr">
        <is>
          <t>Coating</t>
        </is>
      </c>
      <c r="C26" s="5" t="inlineStr">
        <is>
          <t>Pile 1 coat 1, stripe coats, wash/dry, coat 2 and QA</t>
        </is>
      </c>
      <c r="D26" s="5" t="inlineStr">
        <is>
          <t>Coating crew</t>
        </is>
      </c>
      <c r="E26" s="5" t="inlineStr">
        <is>
          <t>pile</t>
        </is>
      </c>
      <c r="F26" s="5" t="n">
        <v>1</v>
      </c>
      <c r="G26" s="9" t="n">
        <v>0.75</v>
      </c>
      <c r="H26" s="8" t="n"/>
      <c r="I26" s="5" t="inlineStr">
        <is>
          <t>Yes</t>
        </is>
      </c>
      <c r="J26" s="5" t="inlineStr">
        <is>
          <t>Limited</t>
        </is>
      </c>
      <c r="K26" s="5" t="inlineStr">
        <is>
          <t>NOT FULLY MODELLED</t>
        </is>
      </c>
      <c r="L26" s="5" t="inlineStr">
        <is>
          <t>Active work only; elapsed recoat hold requires dated work lot</t>
        </is>
      </c>
      <c r="M26" s="5" t="inlineStr">
        <is>
          <t>COAT-P1</t>
        </is>
      </c>
    </row>
    <row r="27">
      <c r="A27" s="5" t="inlineStr">
        <is>
          <t>5.5</t>
        </is>
      </c>
      <c r="B27" s="5" t="inlineStr">
        <is>
          <t>Jackets</t>
        </is>
      </c>
      <c r="C27" s="5" t="inlineStr">
        <is>
          <t>Pile 1 petrolatum jacket above LAT</t>
        </is>
      </c>
      <c r="D27" s="5" t="inlineStr">
        <is>
          <t>Jacket crew</t>
        </is>
      </c>
      <c r="E27" s="5" t="inlineStr">
        <is>
          <t>pile</t>
        </is>
      </c>
      <c r="F27" s="5" t="n">
        <v>1</v>
      </c>
      <c r="G27" s="9" t="n">
        <v>0.5</v>
      </c>
      <c r="H27" s="5" t="n">
        <v>0</v>
      </c>
      <c r="I27" s="5" t="inlineStr">
        <is>
          <t>Yes</t>
        </is>
      </c>
      <c r="J27" s="5" t="inlineStr">
        <is>
          <t>No</t>
        </is>
      </c>
      <c r="K27" s="5" t="inlineStr">
        <is>
          <t>Engineering assumption</t>
        </is>
      </c>
      <c r="L27" s="5" t="inlineStr">
        <is>
          <t>Timed trial required</t>
        </is>
      </c>
      <c r="M27" s="5" t="inlineStr">
        <is>
          <t>JKT-P1</t>
        </is>
      </c>
    </row>
    <row r="28">
      <c r="A28" s="5" t="inlineStr">
        <is>
          <t>5.6</t>
        </is>
      </c>
      <c r="B28" s="5" t="inlineStr">
        <is>
          <t>Jackets</t>
        </is>
      </c>
      <c r="C28" s="5" t="inlineStr">
        <is>
          <t>Pile 1 jacket below LAT and lower termination</t>
        </is>
      </c>
      <c r="D28" s="5" t="inlineStr">
        <is>
          <t>Marine/jacket crew</t>
        </is>
      </c>
      <c r="E28" s="5" t="inlineStr">
        <is>
          <t>pile</t>
        </is>
      </c>
      <c r="F28" s="5" t="n">
        <v>1</v>
      </c>
      <c r="G28" s="8" t="n"/>
      <c r="H28" s="8" t="n"/>
      <c r="I28" s="5" t="inlineStr">
        <is>
          <t>Yes</t>
        </is>
      </c>
      <c r="J28" s="5" t="inlineStr">
        <is>
          <t>No</t>
        </is>
      </c>
      <c r="K28" s="5" t="inlineStr">
        <is>
          <t>NOT MODELLED</t>
        </is>
      </c>
      <c r="L28" s="5" t="inlineStr">
        <is>
          <t>Manufacturer/marine method required</t>
        </is>
      </c>
      <c r="M28" s="5" t="inlineStr">
        <is>
          <t>JKT-SUB</t>
        </is>
      </c>
    </row>
    <row r="29">
      <c r="A29" s="5" t="inlineStr">
        <is>
          <t>5.7</t>
        </is>
      </c>
      <c r="B29" s="5" t="inlineStr">
        <is>
          <t>Repair</t>
        </is>
      </c>
      <c r="C29" s="5" t="inlineStr">
        <is>
          <t>Repeat repair, coating and jacket sequence on pile 2</t>
        </is>
      </c>
      <c r="D29" s="5" t="inlineStr">
        <is>
          <t>All trade crews</t>
        </is>
      </c>
      <c r="E29" s="5" t="inlineStr">
        <is>
          <t>pile</t>
        </is>
      </c>
      <c r="F29" s="5" t="n">
        <v>1</v>
      </c>
      <c r="G29" s="10">
        <f>G25+G26+G27+G28</f>
        <v/>
      </c>
      <c r="H29" s="8" t="n"/>
      <c r="I29" s="5" t="inlineStr">
        <is>
          <t>Yes</t>
        </is>
      </c>
      <c r="J29" s="5" t="inlineStr">
        <is>
          <t>No</t>
        </is>
      </c>
      <c r="K29" s="5" t="inlineStr">
        <is>
          <t>Formula / concept</t>
        </is>
      </c>
      <c r="L29" s="5" t="inlineStr">
        <is>
          <t>Same platform remains at bent</t>
        </is>
      </c>
      <c r="M29" s="5" t="inlineStr">
        <is>
          <t>REP-P2</t>
        </is>
      </c>
    </row>
    <row r="30">
      <c r="A30" s="5" t="inlineStr">
        <is>
          <t>5.8</t>
        </is>
      </c>
      <c r="B30" s="5" t="inlineStr">
        <is>
          <t>Headstock</t>
        </is>
      </c>
      <c r="C30" s="5" t="inlineStr">
        <is>
          <t>Headstock containment, repair, coating, gallery feet and keeper-angle interfaces</t>
        </is>
      </c>
      <c r="D30" s="5" t="inlineStr">
        <is>
          <t>Multi-trade</t>
        </is>
      </c>
      <c r="E30" s="5" t="inlineStr">
        <is>
          <t>bent</t>
        </is>
      </c>
      <c r="F30" s="5" t="n">
        <v>1</v>
      </c>
      <c r="G30" s="8" t="n"/>
      <c r="H30" s="8" t="n"/>
      <c r="I30" s="5" t="inlineStr">
        <is>
          <t>Yes</t>
        </is>
      </c>
      <c r="J30" s="5" t="inlineStr">
        <is>
          <t>No</t>
        </is>
      </c>
      <c r="K30" s="5" t="inlineStr">
        <is>
          <t>NOT MODELLED</t>
        </is>
      </c>
      <c r="L30" s="5" t="inlineStr">
        <is>
          <t>Bent-family design required</t>
        </is>
      </c>
      <c r="M30" s="5" t="inlineStr">
        <is>
          <t>HEAD-WORK</t>
        </is>
      </c>
    </row>
    <row r="31">
      <c r="A31" s="5" t="inlineStr">
        <is>
          <t>6.1</t>
        </is>
      </c>
      <c r="B31" s="5" t="inlineStr">
        <is>
          <t>Closeout</t>
        </is>
      </c>
      <c r="C31" s="5" t="inlineStr">
        <is>
          <t>Containment clean-out, final QA, records, rework and bent release</t>
        </is>
      </c>
      <c r="D31" s="5" t="inlineStr">
        <is>
          <t>QA / all trades</t>
        </is>
      </c>
      <c r="E31" s="5" t="inlineStr">
        <is>
          <t>bent</t>
        </is>
      </c>
      <c r="F31" s="5" t="n">
        <v>1</v>
      </c>
      <c r="G31" s="8" t="n"/>
      <c r="H31" s="8" t="n"/>
      <c r="I31" s="5" t="inlineStr">
        <is>
          <t>Yes</t>
        </is>
      </c>
      <c r="J31" s="5" t="inlineStr">
        <is>
          <t>No</t>
        </is>
      </c>
      <c r="K31" s="5" t="inlineStr">
        <is>
          <t>NOT MODELLED</t>
        </is>
      </c>
      <c r="L31" s="5" t="inlineStr">
        <is>
          <t>Trial and ITP required</t>
        </is>
      </c>
      <c r="M31" s="5" t="inlineStr">
        <is>
          <t>QA-CLOSE</t>
        </is>
      </c>
    </row>
    <row r="32">
      <c r="A32" s="5" t="inlineStr">
        <is>
          <t>7.1</t>
        </is>
      </c>
      <c r="B32" s="5" t="inlineStr">
        <is>
          <t>Seasonal</t>
        </is>
      </c>
      <c r="C32" s="5" t="inlineStr">
        <is>
          <t>Ship-call make-safe and restart</t>
        </is>
      </c>
      <c r="D32" s="5" t="inlineStr">
        <is>
          <t>Marine / all crews</t>
        </is>
      </c>
      <c r="E32" s="5" t="inlineStr">
        <is>
          <t>event</t>
        </is>
      </c>
      <c r="F32" s="5" t="n">
        <v>1</v>
      </c>
      <c r="G32" s="8" t="n"/>
      <c r="H32" s="8" t="n"/>
      <c r="I32" s="5" t="inlineStr">
        <is>
          <t>Varies</t>
        </is>
      </c>
      <c r="J32" s="5" t="inlineStr">
        <is>
          <t>No</t>
        </is>
      </c>
      <c r="K32" s="5" t="inlineStr">
        <is>
          <t>Calendar event</t>
        </is>
      </c>
      <c r="L32" s="5" t="inlineStr">
        <is>
          <t>2-day notice basis; exact scope to define</t>
        </is>
      </c>
      <c r="M32" s="5" t="inlineStr">
        <is>
          <t>OPS-SHIP</t>
        </is>
      </c>
    </row>
    <row r="33">
      <c r="A33" s="5" t="inlineStr">
        <is>
          <t>7.2</t>
        </is>
      </c>
      <c r="B33" s="5" t="inlineStr">
        <is>
          <t>Seasonal</t>
        </is>
      </c>
      <c r="C33" s="5" t="inlineStr">
        <is>
          <t>Wet-season full demobilisation and remobilisation</t>
        </is>
      </c>
      <c r="D33" s="5" t="inlineStr">
        <is>
          <t>All marine spread</t>
        </is>
      </c>
      <c r="E33" s="5" t="inlineStr">
        <is>
          <t>season</t>
        </is>
      </c>
      <c r="F33" s="5" t="n">
        <v>1</v>
      </c>
      <c r="G33" s="8" t="n"/>
      <c r="H33" s="8" t="n"/>
      <c r="I33" s="5" t="inlineStr">
        <is>
          <t>No</t>
        </is>
      </c>
      <c r="J33" s="5" t="inlineStr">
        <is>
          <t>No</t>
        </is>
      </c>
      <c r="K33" s="5" t="inlineStr">
        <is>
          <t>Client requirement</t>
        </is>
      </c>
      <c r="L33" s="5" t="inlineStr">
        <is>
          <t>Dec-Mar basis</t>
        </is>
      </c>
      <c r="M33" s="5" t="inlineStr">
        <is>
          <t>OPS-SEASON</t>
        </is>
      </c>
    </row>
    <row r="34">
      <c r="A34" s="5" t="inlineStr">
        <is>
          <t>7.3</t>
        </is>
      </c>
      <c r="B34" s="5" t="inlineStr">
        <is>
          <t>Seasonal</t>
        </is>
      </c>
      <c r="C34" s="5" t="inlineStr">
        <is>
          <t>Cyclone fleet recovery to refuge and reinstatement</t>
        </is>
      </c>
      <c r="D34" s="5" t="inlineStr">
        <is>
          <t>Marine spread</t>
        </is>
      </c>
      <c r="E34" s="5" t="inlineStr">
        <is>
          <t>event</t>
        </is>
      </c>
      <c r="F34" s="5" t="n">
        <v>1</v>
      </c>
      <c r="G34" s="8" t="n"/>
      <c r="H34" s="8" t="n"/>
      <c r="I34" s="5" t="inlineStr">
        <is>
          <t>No</t>
        </is>
      </c>
      <c r="J34" s="5" t="inlineStr">
        <is>
          <t>No</t>
        </is>
      </c>
      <c r="K34" s="5" t="inlineStr">
        <is>
          <t>Required gate</t>
        </is>
      </c>
      <c r="L34" s="5" t="inlineStr">
        <is>
          <t>Timed recovery plan required</t>
        </is>
      </c>
      <c r="M34" s="5" t="inlineStr">
        <is>
          <t>OPS-CYCLONE</t>
        </is>
      </c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80" customWidth="1" min="3" max="3"/>
    <col width="12" customWidth="1" min="4" max="4"/>
    <col width="10" customWidth="1" min="5" max="5"/>
    <col width="11" customWidth="1" min="6" max="6"/>
    <col width="60" customWidth="1" min="7" max="7"/>
    <col width="13" customWidth="1" min="8" max="8"/>
    <col width="15" customWidth="1" min="9" max="9"/>
    <col width="27" customWidth="1" min="10" max="10"/>
    <col width="45" customWidth="1" min="11" max="11"/>
    <col width="10" customWidth="1" min="12" max="12"/>
  </cols>
  <sheetData>
    <row r="1" ht="26" customHeight="1">
      <c r="A1" s="1" t="inlineStr">
        <is>
          <t>Supplier, Labour and Plant Rate Register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Rate ID</t>
        </is>
      </c>
      <c r="B3" s="6" t="inlineStr">
        <is>
          <t>Category</t>
        </is>
      </c>
      <c r="C3" s="6" t="inlineStr">
        <is>
          <t>Description / source context</t>
        </is>
      </c>
      <c r="D3" s="6" t="inlineStr">
        <is>
          <t>Amount</t>
        </is>
      </c>
      <c r="E3" s="6" t="inlineStr">
        <is>
          <t>Currency</t>
        </is>
      </c>
      <c r="F3" s="6" t="inlineStr">
        <is>
          <t>Rate unit</t>
        </is>
      </c>
      <c r="G3" s="6" t="inlineStr">
        <is>
          <t>Source file</t>
        </is>
      </c>
      <c r="H3" s="6" t="inlineStr">
        <is>
          <t>Source line</t>
        </is>
      </c>
      <c r="I3" s="6" t="inlineStr">
        <is>
          <t>Use in model?</t>
        </is>
      </c>
      <c r="J3" s="6" t="inlineStr">
        <is>
          <t>Confidence</t>
        </is>
      </c>
      <c r="K3" s="6" t="inlineStr">
        <is>
          <t>Notes</t>
        </is>
      </c>
      <c r="L3" s="2" t="n"/>
    </row>
    <row r="4">
      <c r="A4" s="5" t="inlineStr">
        <is>
          <t>R001</t>
        </is>
      </c>
      <c r="B4" s="5" t="inlineStr">
        <is>
          <t>Current access</t>
        </is>
      </c>
      <c r="C4" s="5" t="inlineStr">
        <is>
          <t>Contract access basis for firm scope</t>
        </is>
      </c>
      <c r="D4" s="11" t="n">
        <v>9275472.359999999</v>
      </c>
      <c r="E4" s="5" t="inlineStr">
        <is>
          <t>AUD</t>
        </is>
      </c>
      <c r="F4" s="5" t="inlineStr">
        <is>
          <t>lump sum</t>
        </is>
      </c>
      <c r="G4" s="5" t="inlineStr">
        <is>
          <t>AAB contract/assurance calculation</t>
        </is>
      </c>
      <c r="H4" s="5" t="inlineStr">
        <is>
          <t>n/a</t>
        </is>
      </c>
      <c r="I4" s="9" t="inlineStr">
        <is>
          <t>N</t>
        </is>
      </c>
      <c r="J4" s="5" t="inlineStr">
        <is>
          <t>Verified historical basis</t>
        </is>
      </c>
      <c r="K4" s="5" t="inlineStr">
        <is>
          <t>Not remaining avoidable cost</t>
        </is>
      </c>
      <c r="L4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2" customWidth="1" min="3" max="3"/>
    <col width="10" customWidth="1" min="4" max="4"/>
    <col width="12" customWidth="1" min="5" max="5"/>
    <col width="10" customWidth="1" min="6" max="6"/>
    <col width="37" customWidth="1" min="7" max="7"/>
    <col width="40" customWidth="1" min="8" max="8"/>
    <col width="13" customWidth="1" min="9" max="9"/>
    <col width="50" customWidth="1" min="10" max="10"/>
    <col width="10" customWidth="1" min="11" max="11"/>
    <col width="10" customWidth="1" min="12" max="12"/>
  </cols>
  <sheetData>
    <row r="1" ht="26" customHeight="1">
      <c r="A1" s="1" t="inlineStr">
        <is>
          <t>Candidate Methodology - Detailed Cost Build-Up</t>
        </is>
      </c>
    </row>
    <row r="2">
      <c r="A2" s="12" t="inlineStr">
        <is>
          <t>WARNING: Total is incomplete while any TBC rate or quantity remains. Rates are AUD ex GST.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30" customHeight="1">
      <c r="A4" s="6" t="inlineStr">
        <is>
          <t>Cost code</t>
        </is>
      </c>
      <c r="B4" s="6" t="inlineStr">
        <is>
          <t>Cost group</t>
        </is>
      </c>
      <c r="C4" s="6" t="inlineStr">
        <is>
          <t>Item</t>
        </is>
      </c>
      <c r="D4" s="6" t="inlineStr">
        <is>
          <t>Qty</t>
        </is>
      </c>
      <c r="E4" s="6" t="inlineStr">
        <is>
          <t>Unit</t>
        </is>
      </c>
      <c r="F4" s="6" t="inlineStr">
        <is>
          <t>Rate</t>
        </is>
      </c>
      <c r="G4" s="6" t="inlineStr">
        <is>
          <t>Duration / multiplier</t>
        </is>
      </c>
      <c r="H4" s="6" t="inlineStr">
        <is>
          <t>Extended cost</t>
        </is>
      </c>
      <c r="I4" s="6" t="inlineStr">
        <is>
          <t>Rate status</t>
        </is>
      </c>
      <c r="J4" s="6" t="inlineStr">
        <is>
          <t>Source / note</t>
        </is>
      </c>
      <c r="K4" s="2" t="n"/>
      <c r="L4" s="2" t="n"/>
    </row>
    <row r="5">
      <c r="A5" s="5" t="inlineStr">
        <is>
          <t>ENG-SURV</t>
        </is>
      </c>
      <c r="B5" s="5" t="inlineStr">
        <is>
          <t>Engineering</t>
        </is>
      </c>
      <c r="C5" s="5" t="inlineStr">
        <is>
          <t>Bathymetric and seabed survey</t>
        </is>
      </c>
      <c r="D5" s="5" t="n">
        <v>1</v>
      </c>
      <c r="E5" s="5" t="inlineStr">
        <is>
          <t>LS</t>
        </is>
      </c>
      <c r="F5" s="13" t="n"/>
      <c r="G5" s="9" t="n">
        <v>1</v>
      </c>
      <c r="H5" s="14">
        <f>IF(OR(F5="",G5=""),"TBC",D5*F5*G5)</f>
        <v/>
      </c>
      <c r="I5" s="5" t="inlineStr">
        <is>
          <t>TBC</t>
        </is>
      </c>
      <c r="J5" s="5" t="inlineStr">
        <is>
          <t>Obtain supplier quote</t>
        </is>
      </c>
      <c r="K5" s="2" t="n"/>
      <c r="L5" s="2" t="n"/>
    </row>
    <row r="6">
      <c r="A6" s="5" t="inlineStr">
        <is>
          <t>ENG-TW</t>
        </is>
      </c>
      <c r="B6" s="5" t="inlineStr">
        <is>
          <t>Engineering</t>
        </is>
      </c>
      <c r="C6" s="5" t="inlineStr">
        <is>
          <t>Temporary works design and independent check</t>
        </is>
      </c>
      <c r="D6" s="5" t="n">
        <v>1</v>
      </c>
      <c r="E6" s="5" t="inlineStr">
        <is>
          <t>LS</t>
        </is>
      </c>
      <c r="F6" s="13" t="n"/>
      <c r="G6" s="9" t="n">
        <v>1</v>
      </c>
      <c r="H6" s="14">
        <f>IF(OR(F6="",G6=""),"TBC",D6*F6*G6)</f>
        <v/>
      </c>
      <c r="I6" s="5" t="inlineStr">
        <is>
          <t>TBC</t>
        </is>
      </c>
      <c r="J6" s="5" t="inlineStr">
        <is>
          <t>Platform/hang-off/traversing decks</t>
        </is>
      </c>
      <c r="K6" s="2" t="n"/>
      <c r="L6" s="2" t="n"/>
    </row>
    <row r="7">
      <c r="A7" s="5" t="inlineStr">
        <is>
          <t>ENG-CONT</t>
        </is>
      </c>
      <c r="B7" s="5" t="inlineStr">
        <is>
          <t>Engineering</t>
        </is>
      </c>
      <c r="C7" s="5" t="inlineStr">
        <is>
          <t>Containment and environmental design</t>
        </is>
      </c>
      <c r="D7" s="5" t="n">
        <v>1</v>
      </c>
      <c r="E7" s="5" t="inlineStr">
        <is>
          <t>LS</t>
        </is>
      </c>
      <c r="F7" s="13" t="n"/>
      <c r="G7" s="9" t="n">
        <v>1</v>
      </c>
      <c r="H7" s="14">
        <f>IF(OR(F7="",G7=""),"TBC",D7*F7*G7)</f>
        <v/>
      </c>
      <c r="I7" s="5" t="inlineStr">
        <is>
          <t>TBC</t>
        </is>
      </c>
      <c r="J7" s="5" t="inlineStr">
        <is>
          <t>Pile and headstock configurations</t>
        </is>
      </c>
      <c r="K7" s="2" t="n"/>
      <c r="L7" s="2" t="n"/>
    </row>
    <row r="8">
      <c r="A8" s="5" t="inlineStr">
        <is>
          <t>ENG-MAR</t>
        </is>
      </c>
      <c r="B8" s="5" t="inlineStr">
        <is>
          <t>Engineering</t>
        </is>
      </c>
      <c r="C8" s="5" t="inlineStr">
        <is>
          <t>Marine operations plan, SIMOPS, rescue and seasonal plans</t>
        </is>
      </c>
      <c r="D8" s="5" t="n">
        <v>1</v>
      </c>
      <c r="E8" s="5" t="inlineStr">
        <is>
          <t>LS</t>
        </is>
      </c>
      <c r="F8" s="13" t="n"/>
      <c r="G8" s="9" t="n">
        <v>1</v>
      </c>
      <c r="H8" s="14">
        <f>IF(OR(F8="",G8=""),"TBC",D8*F8*G8)</f>
        <v/>
      </c>
      <c r="I8" s="5" t="inlineStr">
        <is>
          <t>TBC</t>
        </is>
      </c>
      <c r="J8" s="5" t="inlineStr">
        <is>
          <t>Stage 1 / execution engineering</t>
        </is>
      </c>
      <c r="K8" s="2" t="n"/>
      <c r="L8" s="2" t="n"/>
    </row>
    <row r="9">
      <c r="A9" s="5" t="inlineStr">
        <is>
          <t>MOB-JUB</t>
        </is>
      </c>
      <c r="B9" s="5" t="inlineStr">
        <is>
          <t>Mobilisation</t>
        </is>
      </c>
      <c r="C9" s="5" t="inlineStr">
        <is>
          <t>JUB mobilisation to Lucinda</t>
        </is>
      </c>
      <c r="D9" s="5" t="n">
        <v>1</v>
      </c>
      <c r="E9" s="5" t="inlineStr">
        <is>
          <t>LS</t>
        </is>
      </c>
      <c r="F9" s="13" t="n"/>
      <c r="G9" s="9" t="n">
        <v>1</v>
      </c>
      <c r="H9" s="14">
        <f>IF(OR(F9="",G9=""),"TBC",D9*F9*G9)</f>
        <v/>
      </c>
      <c r="I9" s="5" t="inlineStr">
        <is>
          <t>TBC</t>
        </is>
      </c>
      <c r="J9" s="5" t="inlineStr">
        <is>
          <t>Candidate unit required</t>
        </is>
      </c>
      <c r="K9" s="2" t="n"/>
      <c r="L9" s="2" t="n"/>
    </row>
    <row r="10">
      <c r="A10" s="5" t="inlineStr">
        <is>
          <t>MOB-PLAT</t>
        </is>
      </c>
      <c r="B10" s="5" t="inlineStr">
        <is>
          <t>Mobilisation</t>
        </is>
      </c>
      <c r="C10" s="5" t="inlineStr">
        <is>
          <t>GGC platform transport, assembly and modification</t>
        </is>
      </c>
      <c r="D10" s="5" t="n">
        <v>1</v>
      </c>
      <c r="E10" s="5" t="inlineStr">
        <is>
          <t>campaign</t>
        </is>
      </c>
      <c r="F10" s="13" t="n"/>
      <c r="G10" s="9" t="n">
        <v>1</v>
      </c>
      <c r="H10" s="14">
        <f>IF(OR(F10="",G10=""),"TBC",D10*F10*G10)</f>
        <v/>
      </c>
      <c r="I10" s="5" t="inlineStr">
        <is>
          <t>TBC</t>
        </is>
      </c>
      <c r="J10" s="5" t="inlineStr">
        <is>
          <t>Use written GGC quote</t>
        </is>
      </c>
      <c r="K10" s="2" t="n"/>
      <c r="L10" s="2" t="n"/>
    </row>
    <row r="11">
      <c r="A11" s="5" t="inlineStr">
        <is>
          <t>MOB-CONT</t>
        </is>
      </c>
      <c r="B11" s="5" t="inlineStr">
        <is>
          <t>Mobilisation</t>
        </is>
      </c>
      <c r="C11" s="5" t="inlineStr">
        <is>
          <t>Containment/traversing deck fabrication and assembly</t>
        </is>
      </c>
      <c r="D11" s="5" t="n">
        <v>1</v>
      </c>
      <c r="E11" s="5" t="inlineStr">
        <is>
          <t>campaign</t>
        </is>
      </c>
      <c r="F11" s="13" t="n"/>
      <c r="G11" s="9" t="n">
        <v>1</v>
      </c>
      <c r="H11" s="14">
        <f>IF(OR(F11="",G11=""),"TBC",D11*F11*G11)</f>
        <v/>
      </c>
      <c r="I11" s="5" t="inlineStr">
        <is>
          <t>TBC</t>
        </is>
      </c>
      <c r="J11" s="5" t="inlineStr">
        <is>
          <t>Supplier quote</t>
        </is>
      </c>
      <c r="K11" s="2" t="n"/>
      <c r="L11" s="2" t="n"/>
    </row>
    <row r="12">
      <c r="A12" s="5" t="inlineStr">
        <is>
          <t>MOB-TEST</t>
        </is>
      </c>
      <c r="B12" s="5" t="inlineStr">
        <is>
          <t>Mobilisation</t>
        </is>
      </c>
      <c r="C12" s="5" t="inlineStr">
        <is>
          <t>Proof load and proving campaign</t>
        </is>
      </c>
      <c r="D12" s="5" t="n">
        <v>1</v>
      </c>
      <c r="E12" s="5" t="inlineStr">
        <is>
          <t>campaign</t>
        </is>
      </c>
      <c r="F12" s="13" t="n"/>
      <c r="G12" s="9" t="n">
        <v>1</v>
      </c>
      <c r="H12" s="14">
        <f>IF(OR(F12="",G12=""),"TBC",D12*F12*G12)</f>
        <v/>
      </c>
      <c r="I12" s="5" t="inlineStr">
        <is>
          <t>TBC</t>
        </is>
      </c>
      <c r="J12" s="5" t="inlineStr">
        <is>
          <t>Include engineering attendance</t>
        </is>
      </c>
      <c r="K12" s="2" t="n"/>
      <c r="L12" s="2" t="n"/>
    </row>
    <row r="13">
      <c r="A13" s="5" t="inlineStr">
        <is>
          <t>TIME-JUB</t>
        </is>
      </c>
      <c r="B13" s="5" t="inlineStr">
        <is>
          <t>Time-related</t>
        </is>
      </c>
      <c r="C13" s="5" t="inlineStr">
        <is>
          <t>Jack-up barge hire</t>
        </is>
      </c>
      <c r="D13" s="5" t="n">
        <v>1</v>
      </c>
      <c r="E13" s="5" t="inlineStr">
        <is>
          <t>day</t>
        </is>
      </c>
      <c r="F13" s="13" t="n"/>
      <c r="G13" s="9" t="n">
        <v>0</v>
      </c>
      <c r="H13" s="14">
        <f>IF(OR(F13="",G13=""),"TBC",D13*F13*G13)</f>
        <v/>
      </c>
      <c r="I13" s="5" t="inlineStr">
        <is>
          <t>TBC</t>
        </is>
      </c>
      <c r="J13" s="5" t="inlineStr">
        <is>
          <t>Duration from dated programme</t>
        </is>
      </c>
      <c r="K13" s="2" t="n"/>
      <c r="L13" s="2" t="n"/>
    </row>
    <row r="14">
      <c r="A14" s="5" t="inlineStr">
        <is>
          <t>TIME-WB</t>
        </is>
      </c>
      <c r="B14" s="5" t="inlineStr">
        <is>
          <t>Time-related</t>
        </is>
      </c>
      <c r="C14" s="5" t="inlineStr">
        <is>
          <t>Primary workboat / multicat hire</t>
        </is>
      </c>
      <c r="D14" s="5" t="n">
        <v>1</v>
      </c>
      <c r="E14" s="5" t="inlineStr">
        <is>
          <t>day</t>
        </is>
      </c>
      <c r="F14" s="13" t="n"/>
      <c r="G14" s="9" t="n">
        <v>0</v>
      </c>
      <c r="H14" s="14">
        <f>IF(OR(F14="",G14=""),"TBC",D14*F14*G14)</f>
        <v/>
      </c>
      <c r="I14" s="5" t="inlineStr">
        <is>
          <t>TBC</t>
        </is>
      </c>
      <c r="J14" s="5" t="inlineStr">
        <is>
          <t>Campaign duration</t>
        </is>
      </c>
      <c r="K14" s="2" t="n"/>
      <c r="L14" s="2" t="n"/>
    </row>
    <row r="15">
      <c r="A15" s="5" t="inlineStr">
        <is>
          <t>TIME-RB</t>
        </is>
      </c>
      <c r="B15" s="5" t="inlineStr">
        <is>
          <t>Time-related</t>
        </is>
      </c>
      <c r="C15" s="5" t="inlineStr">
        <is>
          <t>Dedicated rescue craft</t>
        </is>
      </c>
      <c r="D15" s="5" t="n">
        <v>1</v>
      </c>
      <c r="E15" s="5" t="inlineStr">
        <is>
          <t>day</t>
        </is>
      </c>
      <c r="F15" s="13" t="n"/>
      <c r="G15" s="9" t="n">
        <v>0</v>
      </c>
      <c r="H15" s="14">
        <f>IF(OR(F15="",G15=""),"TBC",D15*F15*G15)</f>
        <v/>
      </c>
      <c r="I15" s="5" t="inlineStr">
        <is>
          <t>TBC</t>
        </is>
      </c>
      <c r="J15" s="5" t="inlineStr">
        <is>
          <t>Whenever personnel over water</t>
        </is>
      </c>
      <c r="K15" s="2" t="n"/>
      <c r="L15" s="2" t="n"/>
    </row>
    <row r="16">
      <c r="A16" s="5" t="inlineStr">
        <is>
          <t>TIME-PLAT</t>
        </is>
      </c>
      <c r="B16" s="5" t="inlineStr">
        <is>
          <t>Time-related</t>
        </is>
      </c>
      <c r="C16" s="5" t="inlineStr">
        <is>
          <t>Floating platform/access set hire</t>
        </is>
      </c>
      <c r="D16" s="5" t="n">
        <v>1</v>
      </c>
      <c r="E16" s="5" t="inlineStr">
        <is>
          <t>set-day</t>
        </is>
      </c>
      <c r="F16" s="13" t="n"/>
      <c r="G16" s="9" t="n">
        <v>0</v>
      </c>
      <c r="H16" s="14">
        <f>IF(OR(F16="",G16=""),"TBC",D16*F16*G16)</f>
        <v/>
      </c>
      <c r="I16" s="5" t="inlineStr">
        <is>
          <t>TBC</t>
        </is>
      </c>
      <c r="J16" s="5" t="inlineStr">
        <is>
          <t>Fleet output from model</t>
        </is>
      </c>
      <c r="K16" s="2" t="n"/>
      <c r="L16" s="2" t="n"/>
    </row>
    <row r="17">
      <c r="A17" s="5" t="inlineStr">
        <is>
          <t>TIME-CONT</t>
        </is>
      </c>
      <c r="B17" s="5" t="inlineStr">
        <is>
          <t>Time-related</t>
        </is>
      </c>
      <c r="C17" s="5" t="inlineStr">
        <is>
          <t>Containment set hire/ownership</t>
        </is>
      </c>
      <c r="D17" s="5" t="n">
        <v>1</v>
      </c>
      <c r="E17" s="5" t="inlineStr">
        <is>
          <t>set-day</t>
        </is>
      </c>
      <c r="F17" s="13" t="n"/>
      <c r="G17" s="9" t="n">
        <v>0</v>
      </c>
      <c r="H17" s="14">
        <f>IF(OR(F17="",G17=""),"TBC",D17*F17*G17)</f>
        <v/>
      </c>
      <c r="I17" s="5" t="inlineStr">
        <is>
          <t>TBC</t>
        </is>
      </c>
      <c r="J17" s="5" t="inlineStr">
        <is>
          <t>Fleet output from model</t>
        </is>
      </c>
      <c r="K17" s="2" t="n"/>
      <c r="L17" s="2" t="n"/>
    </row>
    <row r="18">
      <c r="A18" s="5" t="inlineStr">
        <is>
          <t>TIME-UTIL</t>
        </is>
      </c>
      <c r="B18" s="5" t="inlineStr">
        <is>
          <t>Time-related</t>
        </is>
      </c>
      <c r="C18" s="5" t="inlineStr">
        <is>
          <t>Compressors, generators, breathing air, extraction and vacuum plant</t>
        </is>
      </c>
      <c r="D18" s="5" t="n">
        <v>1</v>
      </c>
      <c r="E18" s="5" t="inlineStr">
        <is>
          <t>day</t>
        </is>
      </c>
      <c r="F18" s="13" t="n"/>
      <c r="G18" s="9" t="n">
        <v>0</v>
      </c>
      <c r="H18" s="14">
        <f>IF(OR(F18="",G18=""),"TBC",D18*F18*G18)</f>
        <v/>
      </c>
      <c r="I18" s="5" t="inlineStr">
        <is>
          <t>TBC</t>
        </is>
      </c>
      <c r="J18" s="5" t="inlineStr">
        <is>
          <t>JUB service spread</t>
        </is>
      </c>
      <c r="K18" s="2" t="n"/>
      <c r="L18" s="2" t="n"/>
    </row>
    <row r="19">
      <c r="A19" s="5" t="inlineStr">
        <is>
          <t>TIME-BASE</t>
        </is>
      </c>
      <c r="B19" s="5" t="inlineStr">
        <is>
          <t>Time-related</t>
        </is>
      </c>
      <c r="C19" s="5" t="inlineStr">
        <is>
          <t>Shore base, stores, waste and vehicles</t>
        </is>
      </c>
      <c r="D19" s="5" t="n">
        <v>1</v>
      </c>
      <c r="E19" s="5" t="inlineStr">
        <is>
          <t>day</t>
        </is>
      </c>
      <c r="F19" s="13" t="n"/>
      <c r="G19" s="9" t="n">
        <v>0</v>
      </c>
      <c r="H19" s="14">
        <f>IF(OR(F19="",G19=""),"TBC",D19*F19*G19)</f>
        <v/>
      </c>
      <c r="I19" s="5" t="inlineStr">
        <is>
          <t>TBC</t>
        </is>
      </c>
      <c r="J19" s="5" t="inlineStr">
        <is>
          <t>Local logistics</t>
        </is>
      </c>
      <c r="K19" s="2" t="n"/>
      <c r="L19" s="2" t="n"/>
    </row>
    <row r="20">
      <c r="A20" s="5" t="inlineStr">
        <is>
          <t>LAB-MGMT</t>
        </is>
      </c>
      <c r="B20" s="5" t="inlineStr">
        <is>
          <t>Labour</t>
        </is>
      </c>
      <c r="C20" s="5" t="inlineStr">
        <is>
          <t>Project manager / construction manager</t>
        </is>
      </c>
      <c r="D20" s="5" t="n">
        <v>1</v>
      </c>
      <c r="E20" s="5" t="inlineStr">
        <is>
          <t>person-day</t>
        </is>
      </c>
      <c r="F20" s="13" t="n"/>
      <c r="G20" s="9" t="n">
        <v>0</v>
      </c>
      <c r="H20" s="14">
        <f>IF(OR(F20="",G20=""),"TBC",D20*F20*G20)</f>
        <v/>
      </c>
      <c r="I20" s="5" t="inlineStr">
        <is>
          <t>TBC</t>
        </is>
      </c>
      <c r="J20" s="5" t="inlineStr">
        <is>
          <t>Resource-loaded programme</t>
        </is>
      </c>
      <c r="K20" s="2" t="n"/>
      <c r="L20" s="2" t="n"/>
    </row>
    <row r="21">
      <c r="A21" s="5" t="inlineStr">
        <is>
          <t>LAB-MAR</t>
        </is>
      </c>
      <c r="B21" s="5" t="inlineStr">
        <is>
          <t>Labour</t>
        </is>
      </c>
      <c r="C21" s="5" t="inlineStr">
        <is>
          <t>Marine superintendent / barge master / deck crew</t>
        </is>
      </c>
      <c r="D21" s="5" t="n">
        <v>1</v>
      </c>
      <c r="E21" s="5" t="inlineStr">
        <is>
          <t>person-day</t>
        </is>
      </c>
      <c r="F21" s="13" t="n"/>
      <c r="G21" s="9" t="n">
        <v>0</v>
      </c>
      <c r="H21" s="14">
        <f>IF(OR(F21="",G21=""),"TBC",D21*F21*G21)</f>
        <v/>
      </c>
      <c r="I21" s="5" t="inlineStr">
        <is>
          <t>TBC</t>
        </is>
      </c>
      <c r="J21" s="5" t="inlineStr">
        <is>
          <t>Marine spread</t>
        </is>
      </c>
      <c r="K21" s="2" t="n"/>
      <c r="L21" s="2" t="n"/>
    </row>
    <row r="22">
      <c r="A22" s="5" t="inlineStr">
        <is>
          <t>LAB-HSE</t>
        </is>
      </c>
      <c r="B22" s="5" t="inlineStr">
        <is>
          <t>Labour</t>
        </is>
      </c>
      <c r="C22" s="5" t="inlineStr">
        <is>
          <t>HSE and environmental supervision</t>
        </is>
      </c>
      <c r="D22" s="5" t="n">
        <v>1</v>
      </c>
      <c r="E22" s="5" t="inlineStr">
        <is>
          <t>person-day</t>
        </is>
      </c>
      <c r="F22" s="13" t="n"/>
      <c r="G22" s="9" t="n">
        <v>0</v>
      </c>
      <c r="H22" s="14">
        <f>IF(OR(F22="",G22=""),"TBC",D22*F22*G22)</f>
        <v/>
      </c>
      <c r="I22" s="5" t="inlineStr">
        <is>
          <t>TBC</t>
        </is>
      </c>
      <c r="J22" s="5" t="inlineStr">
        <is>
          <t>Shift coverage</t>
        </is>
      </c>
      <c r="K22" s="2" t="n"/>
      <c r="L22" s="2" t="n"/>
    </row>
    <row r="23">
      <c r="A23" s="5" t="inlineStr">
        <is>
          <t>LAB-QA</t>
        </is>
      </c>
      <c r="B23" s="5" t="inlineStr">
        <is>
          <t>Labour</t>
        </is>
      </c>
      <c r="C23" s="5" t="inlineStr">
        <is>
          <t>QA, coating inspector and records</t>
        </is>
      </c>
      <c r="D23" s="5" t="n">
        <v>1</v>
      </c>
      <c r="E23" s="5" t="inlineStr">
        <is>
          <t>person-day</t>
        </is>
      </c>
      <c r="F23" s="13" t="n"/>
      <c r="G23" s="9" t="n">
        <v>0</v>
      </c>
      <c r="H23" s="14">
        <f>IF(OR(F23="",G23=""),"TBC",D23*F23*G23)</f>
        <v/>
      </c>
      <c r="I23" s="5" t="inlineStr">
        <is>
          <t>TBC</t>
        </is>
      </c>
      <c r="J23" s="5" t="inlineStr">
        <is>
          <t>Shift coverage</t>
        </is>
      </c>
      <c r="K23" s="2" t="n"/>
      <c r="L23" s="2" t="n"/>
    </row>
    <row r="24">
      <c r="A24" s="5" t="inlineStr">
        <is>
          <t>LAB-INSP</t>
        </is>
      </c>
      <c r="B24" s="5" t="inlineStr">
        <is>
          <t>Labour</t>
        </is>
      </c>
      <c r="C24" s="5" t="inlineStr">
        <is>
          <t>Inspection / UT / NDT crew</t>
        </is>
      </c>
      <c r="D24" s="5" t="n">
        <v>1</v>
      </c>
      <c r="E24" s="5" t="inlineStr">
        <is>
          <t>crew-day</t>
        </is>
      </c>
      <c r="F24" s="13" t="n"/>
      <c r="G24" s="9" t="n">
        <v>0</v>
      </c>
      <c r="H24" s="14">
        <f>IF(OR(F24="",G24=""),"TBC",D24*F24*G24)</f>
        <v/>
      </c>
      <c r="I24" s="5" t="inlineStr">
        <is>
          <t>TBC</t>
        </is>
      </c>
      <c r="J24" s="5" t="inlineStr">
        <is>
          <t>Ahead and release fronts</t>
        </is>
      </c>
      <c r="K24" s="2" t="n"/>
      <c r="L24" s="2" t="n"/>
    </row>
    <row r="25">
      <c r="A25" s="5" t="inlineStr">
        <is>
          <t>LAB-WELD</t>
        </is>
      </c>
      <c r="B25" s="5" t="inlineStr">
        <is>
          <t>Labour</t>
        </is>
      </c>
      <c r="C25" s="5" t="inlineStr">
        <is>
          <t>Two-person welding crew</t>
        </is>
      </c>
      <c r="D25" s="5" t="n">
        <v>1</v>
      </c>
      <c r="E25" s="5" t="inlineStr">
        <is>
          <t>crew-day</t>
        </is>
      </c>
      <c r="F25" s="13" t="n"/>
      <c r="G25" s="9" t="n">
        <v>0</v>
      </c>
      <c r="H25" s="14">
        <f>IF(OR(F25="",G25=""),"TBC",D25*F25*G25)</f>
        <v/>
      </c>
      <c r="I25" s="5" t="inlineStr">
        <is>
          <t>TBC</t>
        </is>
      </c>
      <c r="J25" s="5" t="inlineStr">
        <is>
          <t>Crew count from scenario</t>
        </is>
      </c>
      <c r="K25" s="2" t="n"/>
      <c r="L25" s="2" t="n"/>
    </row>
    <row r="26">
      <c r="A26" s="5" t="inlineStr">
        <is>
          <t>LAB-COAT</t>
        </is>
      </c>
      <c r="B26" s="5" t="inlineStr">
        <is>
          <t>Labour</t>
        </is>
      </c>
      <c r="C26" s="5" t="inlineStr">
        <is>
          <t>Blasting/coating crew</t>
        </is>
      </c>
      <c r="D26" s="5" t="n">
        <v>1</v>
      </c>
      <c r="E26" s="5" t="inlineStr">
        <is>
          <t>crew-day</t>
        </is>
      </c>
      <c r="F26" s="13" t="n"/>
      <c r="G26" s="9" t="n">
        <v>0</v>
      </c>
      <c r="H26" s="14">
        <f>IF(OR(F26="",G26=""),"TBC",D26*F26*G26)</f>
        <v/>
      </c>
      <c r="I26" s="5" t="inlineStr">
        <is>
          <t>TBC</t>
        </is>
      </c>
      <c r="J26" s="5" t="inlineStr">
        <is>
          <t>Containment fronts</t>
        </is>
      </c>
      <c r="K26" s="2" t="n"/>
      <c r="L26" s="2" t="n"/>
    </row>
    <row r="27">
      <c r="A27" s="5" t="inlineStr">
        <is>
          <t>LAB-JKT</t>
        </is>
      </c>
      <c r="B27" s="5" t="inlineStr">
        <is>
          <t>Labour</t>
        </is>
      </c>
      <c r="C27" s="5" t="inlineStr">
        <is>
          <t>Jacket installation crew</t>
        </is>
      </c>
      <c r="D27" s="5" t="n">
        <v>1</v>
      </c>
      <c r="E27" s="5" t="inlineStr">
        <is>
          <t>crew-day</t>
        </is>
      </c>
      <c r="F27" s="13" t="n"/>
      <c r="G27" s="9" t="n">
        <v>0</v>
      </c>
      <c r="H27" s="14">
        <f>IF(OR(F27="",G27=""),"TBC",D27*F27*G27)</f>
        <v/>
      </c>
      <c r="I27" s="5" t="inlineStr">
        <is>
          <t>TBC</t>
        </is>
      </c>
      <c r="J27" s="5" t="inlineStr">
        <is>
          <t>Tide/marine method</t>
        </is>
      </c>
      <c r="K27" s="2" t="n"/>
      <c r="L27" s="2" t="n"/>
    </row>
    <row r="28">
      <c r="A28" s="5" t="inlineStr">
        <is>
          <t>LAB-RIG</t>
        </is>
      </c>
      <c r="B28" s="5" t="inlineStr">
        <is>
          <t>Labour</t>
        </is>
      </c>
      <c r="C28" s="5" t="inlineStr">
        <is>
          <t>Rigging/platform relocation crew</t>
        </is>
      </c>
      <c r="D28" s="5" t="n">
        <v>1</v>
      </c>
      <c r="E28" s="5" t="inlineStr">
        <is>
          <t>crew-day</t>
        </is>
      </c>
      <c r="F28" s="13" t="n"/>
      <c r="G28" s="9" t="n">
        <v>0</v>
      </c>
      <c r="H28" s="14">
        <f>IF(OR(F28="",G28=""),"TBC",D28*F28*G28)</f>
        <v/>
      </c>
      <c r="I28" s="5" t="inlineStr">
        <is>
          <t>TBC</t>
        </is>
      </c>
      <c r="J28" s="5" t="inlineStr">
        <is>
          <t>Advance rigging + move</t>
        </is>
      </c>
      <c r="K28" s="2" t="n"/>
      <c r="L28" s="2" t="n"/>
    </row>
    <row r="29">
      <c r="A29" s="5" t="inlineStr">
        <is>
          <t>CONS-STEEL</t>
        </is>
      </c>
      <c r="B29" s="5" t="inlineStr">
        <is>
          <t>Per bent</t>
        </is>
      </c>
      <c r="C29" s="5" t="inlineStr">
        <is>
          <t>Repair steel and fabrication</t>
        </is>
      </c>
      <c r="D29" s="5" t="n">
        <v>53</v>
      </c>
      <c r="E29" s="5" t="inlineStr">
        <is>
          <t>lm</t>
        </is>
      </c>
      <c r="F29" s="13" t="n"/>
      <c r="G29" s="9" t="n">
        <v>227</v>
      </c>
      <c r="H29" s="14">
        <f>IF(OR(F29="",G29=""),"TBC",D29*F29*G29)</f>
        <v/>
      </c>
      <c r="I29" s="5" t="inlineStr">
        <is>
          <t>TBC</t>
        </is>
      </c>
      <c r="J29" s="5" t="inlineStr">
        <is>
          <t>52.6 lm/payment equivalent sensitivity</t>
        </is>
      </c>
      <c r="K29" s="2" t="n"/>
      <c r="L29" s="2" t="n"/>
    </row>
    <row r="30">
      <c r="A30" s="5" t="inlineStr">
        <is>
          <t>CONS-WELD</t>
        </is>
      </c>
      <c r="B30" s="5" t="inlineStr">
        <is>
          <t>Per bent</t>
        </is>
      </c>
      <c r="C30" s="5" t="inlineStr">
        <is>
          <t>Welding consumables and NDT</t>
        </is>
      </c>
      <c r="D30" s="5" t="n">
        <v>53</v>
      </c>
      <c r="E30" s="5" t="inlineStr">
        <is>
          <t>lm</t>
        </is>
      </c>
      <c r="F30" s="13" t="n"/>
      <c r="G30" s="9" t="n">
        <v>227</v>
      </c>
      <c r="H30" s="14">
        <f>IF(OR(F30="",G30=""),"TBC",D30*F30*G30)</f>
        <v/>
      </c>
      <c r="I30" s="5" t="inlineStr">
        <is>
          <t>TBC</t>
        </is>
      </c>
      <c r="J30" s="5" t="inlineStr">
        <is>
          <t>Accepted repair quantity</t>
        </is>
      </c>
      <c r="K30" s="2" t="n"/>
      <c r="L30" s="2" t="n"/>
    </row>
    <row r="31">
      <c r="A31" s="5" t="inlineStr">
        <is>
          <t>CONS-BLAST</t>
        </is>
      </c>
      <c r="B31" s="5" t="inlineStr">
        <is>
          <t>Per bent</t>
        </is>
      </c>
      <c r="C31" s="5" t="inlineStr">
        <is>
          <t>Abrasive and recovery/disposal</t>
        </is>
      </c>
      <c r="D31" s="5" t="n">
        <v>49</v>
      </c>
      <c r="E31" s="5" t="inlineStr">
        <is>
          <t>m2</t>
        </is>
      </c>
      <c r="F31" s="13" t="n"/>
      <c r="G31" s="9" t="n">
        <v>227</v>
      </c>
      <c r="H31" s="14">
        <f>IF(OR(F31="",G31=""),"TBC",D31*F31*G31)</f>
        <v/>
      </c>
      <c r="I31" s="5" t="inlineStr">
        <is>
          <t>TBC</t>
        </is>
      </c>
      <c r="J31" s="5" t="inlineStr">
        <is>
          <t>Typical whole-bent area; family model required</t>
        </is>
      </c>
      <c r="K31" s="2" t="n"/>
      <c r="L31" s="2" t="n"/>
    </row>
    <row r="32">
      <c r="A32" s="5" t="inlineStr">
        <is>
          <t>CONS-COAT</t>
        </is>
      </c>
      <c r="B32" s="5" t="inlineStr">
        <is>
          <t>Per bent</t>
        </is>
      </c>
      <c r="C32" s="5" t="inlineStr">
        <is>
          <t>Dulux Duremax GFX coating system</t>
        </is>
      </c>
      <c r="D32" s="5" t="n">
        <v>49</v>
      </c>
      <c r="E32" s="5" t="inlineStr">
        <is>
          <t>m2</t>
        </is>
      </c>
      <c r="F32" s="13" t="n"/>
      <c r="G32" s="9" t="n">
        <v>227</v>
      </c>
      <c r="H32" s="14">
        <f>IF(OR(F32="",G32=""),"TBC",D32*F32*G32)</f>
        <v/>
      </c>
      <c r="I32" s="5" t="inlineStr">
        <is>
          <t>TBC</t>
        </is>
      </c>
      <c r="J32" s="5" t="inlineStr">
        <is>
          <t>Two 500 micron coats + stripe</t>
        </is>
      </c>
      <c r="K32" s="2" t="n"/>
      <c r="L32" s="2" t="n"/>
    </row>
    <row r="33">
      <c r="A33" s="5" t="inlineStr">
        <is>
          <t>CONS-JKT</t>
        </is>
      </c>
      <c r="B33" s="5" t="inlineStr">
        <is>
          <t>Per pile</t>
        </is>
      </c>
      <c r="C33" s="5" t="inlineStr">
        <is>
          <t>Petrolatum jacket system</t>
        </is>
      </c>
      <c r="D33" s="5" t="n">
        <v>2</v>
      </c>
      <c r="E33" s="5" t="inlineStr">
        <is>
          <t>pile</t>
        </is>
      </c>
      <c r="F33" s="13" t="n"/>
      <c r="G33" s="9" t="n">
        <v>227</v>
      </c>
      <c r="H33" s="14">
        <f>IF(OR(F33="",G33=""),"TBC",D33*F33*G33)</f>
        <v/>
      </c>
      <c r="I33" s="5" t="inlineStr">
        <is>
          <t>TBC</t>
        </is>
      </c>
      <c r="J33" s="5" t="inlineStr">
        <is>
          <t>Typical bent only; family mix required</t>
        </is>
      </c>
      <c r="K33" s="2" t="n"/>
      <c r="L33" s="2" t="n"/>
    </row>
    <row r="34">
      <c r="A34" s="5" t="inlineStr">
        <is>
          <t>OPS-ACCOM</t>
        </is>
      </c>
      <c r="B34" s="5" t="inlineStr">
        <is>
          <t>Operations</t>
        </is>
      </c>
      <c r="C34" s="5" t="inlineStr">
        <is>
          <t>Accommodation and meals</t>
        </is>
      </c>
      <c r="D34" s="5" t="n">
        <v>1</v>
      </c>
      <c r="E34" s="5" t="inlineStr">
        <is>
          <t>person-day</t>
        </is>
      </c>
      <c r="F34" s="13" t="n"/>
      <c r="G34" s="9" t="n">
        <v>0</v>
      </c>
      <c r="H34" s="14">
        <f>IF(OR(F34="",G34=""),"TBC",D34*F34*G34)</f>
        <v/>
      </c>
      <c r="I34" s="5" t="inlineStr">
        <is>
          <t>TBC</t>
        </is>
      </c>
      <c r="J34" s="5" t="inlineStr">
        <is>
          <t>Peak crew x campaign days</t>
        </is>
      </c>
      <c r="K34" s="2" t="n"/>
      <c r="L34" s="2" t="n"/>
    </row>
    <row r="35">
      <c r="A35" s="5" t="inlineStr">
        <is>
          <t>OPS-FUEL</t>
        </is>
      </c>
      <c r="B35" s="5" t="inlineStr">
        <is>
          <t>Operations</t>
        </is>
      </c>
      <c r="C35" s="5" t="inlineStr">
        <is>
          <t>Fuel and lubricants</t>
        </is>
      </c>
      <c r="D35" s="5" t="n">
        <v>1</v>
      </c>
      <c r="E35" s="5" t="inlineStr">
        <is>
          <t>day</t>
        </is>
      </c>
      <c r="F35" s="13" t="n"/>
      <c r="G35" s="9" t="n">
        <v>0</v>
      </c>
      <c r="H35" s="14">
        <f>IF(OR(F35="",G35=""),"TBC",D35*F35*G35)</f>
        <v/>
      </c>
      <c r="I35" s="5" t="inlineStr">
        <is>
          <t>TBC</t>
        </is>
      </c>
      <c r="J35" s="5" t="inlineStr">
        <is>
          <t>JUB/boats/generators</t>
        </is>
      </c>
      <c r="K35" s="2" t="n"/>
      <c r="L35" s="2" t="n"/>
    </row>
    <row r="36">
      <c r="A36" s="5" t="inlineStr">
        <is>
          <t>OPS-WASTE</t>
        </is>
      </c>
      <c r="B36" s="5" t="inlineStr">
        <is>
          <t>Operations</t>
        </is>
      </c>
      <c r="C36" s="5" t="inlineStr">
        <is>
          <t>Hazardous and general waste treatment</t>
        </is>
      </c>
      <c r="D36" s="5" t="n">
        <v>1</v>
      </c>
      <c r="E36" s="5" t="inlineStr">
        <is>
          <t>campaign</t>
        </is>
      </c>
      <c r="F36" s="13" t="n"/>
      <c r="G36" s="9" t="n">
        <v>1</v>
      </c>
      <c r="H36" s="14">
        <f>IF(OR(F36="",G36=""),"TBC",D36*F36*G36)</f>
        <v/>
      </c>
      <c r="I36" s="5" t="inlineStr">
        <is>
          <t>TBC</t>
        </is>
      </c>
      <c r="J36" s="5" t="inlineStr">
        <is>
          <t>Mass balance required</t>
        </is>
      </c>
      <c r="K36" s="2" t="n"/>
      <c r="L36" s="2" t="n"/>
    </row>
    <row r="37">
      <c r="A37" s="5" t="inlineStr">
        <is>
          <t>OPS-SHIP</t>
        </is>
      </c>
      <c r="B37" s="5" t="inlineStr">
        <is>
          <t>Operations</t>
        </is>
      </c>
      <c r="C37" s="5" t="inlineStr">
        <is>
          <t>Ship-call make-safe and restart allowance</t>
        </is>
      </c>
      <c r="D37" s="5" t="n">
        <v>1</v>
      </c>
      <c r="E37" s="5" t="inlineStr">
        <is>
          <t>event</t>
        </is>
      </c>
      <c r="F37" s="13" t="n"/>
      <c r="G37" s="9" t="n">
        <v>0</v>
      </c>
      <c r="H37" s="14">
        <f>IF(OR(F37="",G37=""),"TBC",D37*F37*G37)</f>
        <v/>
      </c>
      <c r="I37" s="5" t="inlineStr">
        <is>
          <t>TBC</t>
        </is>
      </c>
      <c r="J37" s="5" t="inlineStr">
        <is>
          <t>10-14 calls/year planning range</t>
        </is>
      </c>
      <c r="K37" s="2" t="n"/>
      <c r="L37" s="2" t="n"/>
    </row>
    <row r="38">
      <c r="A38" s="5" t="inlineStr">
        <is>
          <t>OPS-SEASON</t>
        </is>
      </c>
      <c r="B38" s="5" t="inlineStr">
        <is>
          <t>Operations</t>
        </is>
      </c>
      <c r="C38" s="5" t="inlineStr">
        <is>
          <t>Wet-season demob/remob and cyclone recovery</t>
        </is>
      </c>
      <c r="D38" s="5" t="n">
        <v>1</v>
      </c>
      <c r="E38" s="5" t="inlineStr">
        <is>
          <t>season</t>
        </is>
      </c>
      <c r="F38" s="13" t="n"/>
      <c r="G38" s="9" t="n">
        <v>2</v>
      </c>
      <c r="H38" s="14">
        <f>IF(OR(F38="",G38=""),"TBC",D38*F38*G38)</f>
        <v/>
      </c>
      <c r="I38" s="5" t="inlineStr">
        <is>
          <t>TBC</t>
        </is>
      </c>
      <c r="J38" s="5" t="inlineStr">
        <is>
          <t>Full Dec-Mar demob</t>
        </is>
      </c>
      <c r="K38" s="2" t="n"/>
      <c r="L38" s="2" t="n"/>
    </row>
    <row r="39">
      <c r="A39" s="5" t="inlineStr">
        <is>
          <t>CONT</t>
        </is>
      </c>
      <c r="B39" s="5" t="inlineStr">
        <is>
          <t>Contingency</t>
        </is>
      </c>
      <c r="C39" s="5" t="inlineStr">
        <is>
          <t>Risk allowance</t>
        </is>
      </c>
      <c r="D39" s="5" t="n">
        <v>1</v>
      </c>
      <c r="E39" s="5" t="inlineStr">
        <is>
          <t>%</t>
        </is>
      </c>
      <c r="F39" s="13" t="n"/>
      <c r="G39" s="9" t="n">
        <v>0</v>
      </c>
      <c r="H39" s="14">
        <f>IF(OR(F39="",G39=""),"TBC",D39*F39*G39)</f>
        <v/>
      </c>
      <c r="I39" s="5" t="inlineStr">
        <is>
          <t>TBC</t>
        </is>
      </c>
      <c r="J39" s="5" t="inlineStr">
        <is>
          <t>Apply after estimate basis is complete</t>
        </is>
      </c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5" t="inlineStr">
        <is>
          <t>Subtotal of completed numeric lines</t>
        </is>
      </c>
      <c r="H41" s="11">
        <f>SUM(H5:H39)</f>
        <v/>
      </c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5" t="inlineStr">
        <is>
          <t>Estimate completeness</t>
        </is>
      </c>
      <c r="H42" s="15">
        <f>COUNT(H5:H39)/35</f>
        <v/>
      </c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5" t="inlineStr">
        <is>
          <t>Issue status</t>
        </is>
      </c>
      <c r="H43" s="5">
        <f>IF(H42=1,"Complete arithmetic only - subject to assurance","INCOMPLETE - TBC inputs remain")</f>
        <v/>
      </c>
      <c r="I43" s="2" t="n"/>
      <c r="J43" s="2" t="n"/>
      <c r="K43" s="2" t="n"/>
      <c r="L43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40" customWidth="1" min="3" max="3"/>
    <col width="58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Proposed Productivity Model - Access-Set Occupancy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Input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Basis / note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Whole-scope stress quantity</t>
        </is>
      </c>
      <c r="B4" s="9" t="n">
        <v>227</v>
      </c>
      <c r="C4" s="5" t="inlineStr">
        <is>
          <t>bents</t>
        </is>
      </c>
      <c r="D4" s="5" t="inlineStr">
        <is>
          <t>Unverified stress case pending bent register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Nominal production seasons</t>
        </is>
      </c>
      <c r="B5" s="9" t="n">
        <v>2</v>
      </c>
      <c r="C5" s="5" t="inlineStr">
        <is>
          <t>seasons</t>
        </is>
      </c>
      <c r="D5" s="5" t="inlineStr">
        <is>
          <t>2027 and 2028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5" t="inlineStr">
        <is>
          <t>Nominal weeks per season</t>
        </is>
      </c>
      <c r="B6" s="9" t="n">
        <v>30</v>
      </c>
      <c r="C6" s="5" t="inlineStr">
        <is>
          <t>weeks</t>
        </is>
      </c>
      <c r="D6" s="5" t="inlineStr">
        <is>
          <t>Before explicit calendar losses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5" t="inlineStr">
        <is>
          <t>Required net stress rate</t>
        </is>
      </c>
      <c r="B7" s="10">
        <f>B4/(B5*B6)</f>
        <v/>
      </c>
      <c r="C7" s="5" t="inlineStr">
        <is>
          <t>bents/week</t>
        </is>
      </c>
      <c r="D7" s="5" t="inlineStr">
        <is>
          <t>227 / 60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5" t="inlineStr">
        <is>
          <t>Working days per week</t>
        </is>
      </c>
      <c r="B8" s="9" t="n">
        <v>6</v>
      </c>
      <c r="C8" s="5" t="inlineStr">
        <is>
          <t>days/week</t>
        </is>
      </c>
      <c r="D8" s="5" t="inlineStr">
        <is>
          <t>Planning input</t>
        </is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5" t="inlineStr">
        <is>
          <t>Shifts per day</t>
        </is>
      </c>
      <c r="B9" s="9" t="n">
        <v>1</v>
      </c>
      <c r="C9" s="5" t="inlineStr">
        <is>
          <t>shift/day</t>
        </is>
      </c>
      <c r="D9" s="5" t="inlineStr">
        <is>
          <t>Night production not assumed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5" t="inlineStr">
        <is>
          <t>Residual stochastic availability</t>
        </is>
      </c>
      <c r="B10" s="9" t="n">
        <v>0.85</v>
      </c>
      <c r="C10" s="5" t="inlineStr">
        <is>
          <t>factor</t>
        </is>
      </c>
      <c r="D10" s="5" t="inlineStr">
        <is>
          <t>Weather/breakdown only; known outages explicit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Weld quantity per typical bent</t>
        </is>
      </c>
      <c r="B11" s="9" t="n">
        <v>53</v>
      </c>
      <c r="C11" s="5" t="inlineStr">
        <is>
          <t>lm</t>
        </is>
      </c>
      <c r="D11" s="5" t="inlineStr">
        <is>
          <t>Payment-equivalent sensitivity, not design quantity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5" t="inlineStr">
        <is>
          <t>Weld crews per access set</t>
        </is>
      </c>
      <c r="B12" s="9" t="n">
        <v>2</v>
      </c>
      <c r="C12" s="5" t="inlineStr">
        <is>
          <t>crews</t>
        </is>
      </c>
      <c r="D12" s="5" t="inlineStr">
        <is>
          <t>Base sensitivity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5" t="inlineStr">
        <is>
          <t>Accepted weld output per crew shift</t>
        </is>
      </c>
      <c r="B13" s="9" t="n">
        <v>6</v>
      </c>
      <c r="C13" s="5" t="inlineStr">
        <is>
          <t>lm/crew-shift</t>
        </is>
      </c>
      <c r="D13" s="5" t="inlineStr">
        <is>
          <t>Unverified central sensitivity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5" t="inlineStr">
        <is>
          <t>Repair approval hold</t>
        </is>
      </c>
      <c r="B14" s="9" t="n">
        <v>3</v>
      </c>
      <c r="C14" s="5" t="inlineStr">
        <is>
          <t>days</t>
        </is>
      </c>
      <c r="D14" s="5" t="inlineStr">
        <is>
          <t>Bent-level approval basis requiring confirmation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5" t="inlineStr">
        <is>
          <t>Relocation hours per bent</t>
        </is>
      </c>
      <c r="B15" s="9" t="n">
        <v>11</v>
      </c>
      <c r="C15" s="5" t="inlineStr">
        <is>
          <t>h</t>
        </is>
      </c>
      <c r="D15" s="5" t="inlineStr">
        <is>
          <t>Advance rigging + move package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5" t="inlineStr">
        <is>
          <t>Hours per shift</t>
        </is>
      </c>
      <c r="B16" s="9" t="n">
        <v>10</v>
      </c>
      <c r="C16" s="5" t="inlineStr">
        <is>
          <t>h</t>
        </is>
      </c>
      <c r="D16" s="5" t="inlineStr">
        <is>
          <t>Planning input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5" t="inlineStr">
        <is>
          <t>Headstock containment/work</t>
        </is>
      </c>
      <c r="B17" s="9" t="n">
        <v>0</v>
      </c>
      <c r="C17" s="5" t="inlineStr">
        <is>
          <t>shifts</t>
        </is>
      </c>
      <c r="D17" s="5" t="inlineStr">
        <is>
          <t>NOT MODELLED; enter only with evidence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5" t="inlineStr">
        <is>
          <t>Below-LAT jacket work</t>
        </is>
      </c>
      <c r="B18" s="9" t="n">
        <v>0</v>
      </c>
      <c r="C18" s="5" t="inlineStr">
        <is>
          <t>shifts</t>
        </is>
      </c>
      <c r="D18" s="5" t="inlineStr">
        <is>
          <t>NOT MODELLED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5" t="inlineStr">
        <is>
          <t>Containment cleanout/QA/rework</t>
        </is>
      </c>
      <c r="B19" s="9" t="n">
        <v>0</v>
      </c>
      <c r="C19" s="5" t="inlineStr">
        <is>
          <t>shifts</t>
        </is>
      </c>
      <c r="D19" s="5" t="inlineStr">
        <is>
          <t>NOT MODELLED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5" t="inlineStr">
        <is>
          <t>Coating elapsed hold occupancy</t>
        </is>
      </c>
      <c r="B20" s="9" t="n">
        <v>0</v>
      </c>
      <c r="C20" s="5" t="inlineStr">
        <is>
          <t>days</t>
        </is>
      </c>
      <c r="D20" s="5" t="inlineStr">
        <is>
          <t>NOT MODELLED; dated work-lot required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0" customHeight="1">
      <c r="A23" s="6" t="inlineStr">
        <is>
          <t>Model activity</t>
        </is>
      </c>
      <c r="B23" s="6" t="inlineStr">
        <is>
          <t>Base active/hold shifts</t>
        </is>
      </c>
      <c r="C23" s="6" t="inlineStr">
        <is>
          <t>Formula / basis</t>
        </is>
      </c>
      <c r="D23" s="6" t="inlineStr">
        <is>
          <t>Status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5" t="inlineStr">
        <is>
          <t>Wash, inspect and UT</t>
        </is>
      </c>
      <c r="B24" s="9" t="n">
        <v>1</v>
      </c>
      <c r="C24" s="5" t="inlineStr">
        <is>
          <t>Project/programme basis</t>
        </is>
      </c>
      <c r="D24" s="5" t="inlineStr">
        <is>
          <t>Included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5" t="inlineStr">
        <is>
          <t>Diagnostic blast: two upper pile bands</t>
        </is>
      </c>
      <c r="B25" s="9" t="n">
        <v>1</v>
      </c>
      <c r="C25" s="5" t="inlineStr">
        <is>
          <t>~27-29 m2; conservative incl containment moves/QA</t>
        </is>
      </c>
      <c r="D25" s="5" t="inlineStr">
        <is>
          <t>Included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5" t="inlineStr">
        <is>
          <t>Mark-up and bent repair package</t>
        </is>
      </c>
      <c r="B26" s="9" t="n">
        <v>0.5</v>
      </c>
      <c r="C26" s="5" t="inlineStr">
        <is>
          <t>Engineering assumption</t>
        </is>
      </c>
      <c r="D26" s="5" t="inlineStr">
        <is>
          <t>Included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5" t="inlineStr">
        <is>
          <t>Repair approval hold</t>
        </is>
      </c>
      <c r="B27" s="10">
        <f>B14</f>
        <v/>
      </c>
      <c r="C27" s="5" t="inlineStr">
        <is>
          <t>One bent-level hold; confirm</t>
        </is>
      </c>
      <c r="D27" s="5" t="inlineStr">
        <is>
          <t>Included assumption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5" t="inlineStr">
        <is>
          <t>Welding and NDT</t>
        </is>
      </c>
      <c r="B28" s="10">
        <f>B11/(B12*B13)</f>
        <v/>
      </c>
      <c r="C28" s="5" t="inlineStr">
        <is>
          <t>Weld qty / crews / accepted rate</t>
        </is>
      </c>
      <c r="D28" s="5" t="inlineStr">
        <is>
          <t>Largest modelled item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5" t="inlineStr">
        <is>
          <t>Post-weld preparation</t>
        </is>
      </c>
      <c r="B29" s="9" t="n">
        <v>0.5</v>
      </c>
      <c r="C29" s="5" t="inlineStr">
        <is>
          <t>Engineering assumption</t>
        </is>
      </c>
      <c r="D29" s="5" t="inlineStr">
        <is>
          <t>Included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5" t="inlineStr">
        <is>
          <t>Coating active work</t>
        </is>
      </c>
      <c r="B30" s="9" t="n">
        <v>1.5</v>
      </c>
      <c r="C30" s="5" t="inlineStr">
        <is>
          <t>Does not include elapsed recoat holds</t>
        </is>
      </c>
      <c r="D30" s="5" t="inlineStr">
        <is>
          <t>Included active only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5" t="inlineStr">
        <is>
          <t>Jacket active work above LAT</t>
        </is>
      </c>
      <c r="B31" s="9" t="n">
        <v>1</v>
      </c>
      <c r="C31" s="5" t="inlineStr">
        <is>
          <t>Timed trial required</t>
        </is>
      </c>
      <c r="D31" s="5" t="inlineStr">
        <is>
          <t>Included assumption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5" t="inlineStr">
        <is>
          <t>Headstock containment/work</t>
        </is>
      </c>
      <c r="B32" s="10">
        <f>B17</f>
        <v/>
      </c>
      <c r="C32" s="5" t="inlineStr">
        <is>
          <t>User evidence input</t>
        </is>
      </c>
      <c r="D32" s="5" t="inlineStr">
        <is>
          <t>NOT MODELLED if zero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5" t="inlineStr">
        <is>
          <t>Below-LAT jacket work</t>
        </is>
      </c>
      <c r="B33" s="10">
        <f>B18</f>
        <v/>
      </c>
      <c r="C33" s="5" t="inlineStr">
        <is>
          <t>User evidence input</t>
        </is>
      </c>
      <c r="D33" s="5" t="inlineStr">
        <is>
          <t>NOT MODELLED if zero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5" t="inlineStr">
        <is>
          <t>Cleanout/QA/rework</t>
        </is>
      </c>
      <c r="B34" s="10">
        <f>B19</f>
        <v/>
      </c>
      <c r="C34" s="5" t="inlineStr">
        <is>
          <t>User evidence input</t>
        </is>
      </c>
      <c r="D34" s="5" t="inlineStr">
        <is>
          <t>NOT MODELLED if zero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5" t="inlineStr">
        <is>
          <t>Coating elapsed hold occupancy</t>
        </is>
      </c>
      <c r="B35" s="10">
        <f>B20</f>
        <v/>
      </c>
      <c r="C35" s="5" t="inlineStr">
        <is>
          <t>User evidence input</t>
        </is>
      </c>
      <c r="D35" s="5" t="inlineStr">
        <is>
          <t>NOT MODELLED if zero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5" t="inlineStr">
        <is>
          <t>Relocation</t>
        </is>
      </c>
      <c r="B36" s="10">
        <f>B15/B16</f>
        <v/>
      </c>
      <c r="C36" s="5" t="inlineStr">
        <is>
          <t>11 h / shift hours</t>
        </is>
      </c>
      <c r="D36" s="5" t="inlineStr">
        <is>
          <t>Included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5" t="inlineStr">
        <is>
          <t>Total access-set occupancy cycle</t>
        </is>
      </c>
      <c r="B38" s="5">
        <f>SUM(B24:B36)</f>
        <v/>
      </c>
      <c r="C38" s="5" t="inlineStr">
        <is>
          <t>shifts/days at one shift/day; still concept-stage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5" t="inlineStr">
        <is>
          <t>Rate per access set</t>
        </is>
      </c>
      <c r="B39" s="5">
        <f>B8*B9*B10/B38</f>
        <v/>
      </c>
      <c r="C39" s="5" t="inlineStr">
        <is>
          <t>bents/week/set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5" t="inlineStr">
        <is>
          <t>Sets required for stress rate</t>
        </is>
      </c>
      <c r="B40" s="5">
        <f>ROUNDUP(B7/B39,0)</f>
        <v/>
      </c>
      <c r="C40" s="5" t="inlineStr">
        <is>
          <t>mathematical sensitivity, not recommended fleet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30" customHeight="1">
      <c r="A43" s="6" t="inlineStr">
        <is>
          <t>Access sets</t>
        </is>
      </c>
      <c r="B43" s="6" t="inlineStr">
        <is>
          <t>Calculated bents/week</t>
        </is>
      </c>
      <c r="C43" s="6" t="inlineStr">
        <is>
          <t>Weeks for 227 bents</t>
        </is>
      </c>
      <c r="D43" s="6" t="inlineStr">
        <is>
          <t>Nominal seasons</t>
        </is>
      </c>
      <c r="E43" s="6" t="inlineStr">
        <is>
          <t>Gap to 3.783/week</t>
        </is>
      </c>
      <c r="F43" s="2" t="n"/>
      <c r="G43" s="2" t="n"/>
      <c r="H43" s="2" t="n"/>
      <c r="I43" s="2" t="n"/>
      <c r="J43" s="2" t="n"/>
      <c r="K43" s="2" t="n"/>
      <c r="L43" s="2" t="n"/>
    </row>
    <row r="44">
      <c r="A44" s="5" t="n">
        <v>1</v>
      </c>
      <c r="B44" s="7">
        <f>A44*$B$39</f>
        <v/>
      </c>
      <c r="C44" s="16">
        <f>$B$4/B44</f>
        <v/>
      </c>
      <c r="D44" s="7">
        <f>C44/$B$6</f>
        <v/>
      </c>
      <c r="E44" s="7">
        <f>B44-$B$7</f>
        <v/>
      </c>
      <c r="F44" s="2" t="n"/>
      <c r="G44" s="2" t="n"/>
      <c r="H44" s="2" t="n"/>
      <c r="I44" s="2" t="n"/>
      <c r="J44" s="2" t="n"/>
      <c r="K44" s="2" t="n"/>
      <c r="L44" s="2" t="n"/>
    </row>
    <row r="45">
      <c r="A45" s="5" t="n">
        <v>2</v>
      </c>
      <c r="B45" s="7">
        <f>A45*$B$39</f>
        <v/>
      </c>
      <c r="C45" s="16">
        <f>$B$4/B45</f>
        <v/>
      </c>
      <c r="D45" s="7">
        <f>C45/$B$6</f>
        <v/>
      </c>
      <c r="E45" s="7">
        <f>B45-$B$7</f>
        <v/>
      </c>
      <c r="F45" s="2" t="n"/>
      <c r="G45" s="2" t="n"/>
      <c r="H45" s="2" t="n"/>
      <c r="I45" s="2" t="n"/>
      <c r="J45" s="2" t="n"/>
      <c r="K45" s="2" t="n"/>
      <c r="L45" s="2" t="n"/>
    </row>
    <row r="46">
      <c r="A46" s="5" t="n">
        <v>3</v>
      </c>
      <c r="B46" s="7">
        <f>A46*$B$39</f>
        <v/>
      </c>
      <c r="C46" s="16">
        <f>$B$4/B46</f>
        <v/>
      </c>
      <c r="D46" s="7">
        <f>C46/$B$6</f>
        <v/>
      </c>
      <c r="E46" s="7">
        <f>B46-$B$7</f>
        <v/>
      </c>
      <c r="F46" s="2" t="n"/>
      <c r="G46" s="2" t="n"/>
      <c r="H46" s="2" t="n"/>
      <c r="I46" s="2" t="n"/>
      <c r="J46" s="2" t="n"/>
      <c r="K46" s="2" t="n"/>
      <c r="L46" s="2" t="n"/>
    </row>
    <row r="47">
      <c r="A47" s="5" t="n">
        <v>4</v>
      </c>
      <c r="B47" s="7">
        <f>A47*$B$39</f>
        <v/>
      </c>
      <c r="C47" s="16">
        <f>$B$4/B47</f>
        <v/>
      </c>
      <c r="D47" s="7">
        <f>C47/$B$6</f>
        <v/>
      </c>
      <c r="E47" s="7">
        <f>B47-$B$7</f>
        <v/>
      </c>
      <c r="F47" s="2" t="n"/>
      <c r="G47" s="2" t="n"/>
      <c r="H47" s="2" t="n"/>
      <c r="I47" s="2" t="n"/>
      <c r="J47" s="2" t="n"/>
      <c r="K47" s="2" t="n"/>
      <c r="L47" s="2" t="n"/>
    </row>
    <row r="48">
      <c r="A48" s="5" t="n">
        <v>5</v>
      </c>
      <c r="B48" s="7">
        <f>A48*$B$39</f>
        <v/>
      </c>
      <c r="C48" s="16">
        <f>$B$4/B48</f>
        <v/>
      </c>
      <c r="D48" s="7">
        <f>C48/$B$6</f>
        <v/>
      </c>
      <c r="E48" s="7">
        <f>B48-$B$7</f>
        <v/>
      </c>
      <c r="F48" s="2" t="n"/>
      <c r="G48" s="2" t="n"/>
      <c r="H48" s="2" t="n"/>
      <c r="I48" s="2" t="n"/>
      <c r="J48" s="2" t="n"/>
      <c r="K48" s="2" t="n"/>
      <c r="L48" s="2" t="n"/>
    </row>
    <row r="49">
      <c r="A49" s="5" t="n">
        <v>6</v>
      </c>
      <c r="B49" s="7">
        <f>A49*$B$39</f>
        <v/>
      </c>
      <c r="C49" s="16">
        <f>$B$4/B49</f>
        <v/>
      </c>
      <c r="D49" s="7">
        <f>C49/$B$6</f>
        <v/>
      </c>
      <c r="E49" s="7">
        <f>B49-$B$7</f>
        <v/>
      </c>
      <c r="F49" s="2" t="n"/>
      <c r="G49" s="2" t="n"/>
      <c r="H49" s="2" t="n"/>
      <c r="I49" s="2" t="n"/>
      <c r="J49" s="2" t="n"/>
      <c r="K49" s="2" t="n"/>
      <c r="L49" s="2" t="n"/>
    </row>
    <row r="50">
      <c r="A50" s="5" t="n">
        <v>7</v>
      </c>
      <c r="B50" s="7">
        <f>A50*$B$39</f>
        <v/>
      </c>
      <c r="C50" s="16">
        <f>$B$4/B50</f>
        <v/>
      </c>
      <c r="D50" s="7">
        <f>C50/$B$6</f>
        <v/>
      </c>
      <c r="E50" s="7">
        <f>B50-$B$7</f>
        <v/>
      </c>
      <c r="F50" s="2" t="n"/>
      <c r="G50" s="2" t="n"/>
      <c r="H50" s="2" t="n"/>
      <c r="I50" s="2" t="n"/>
      <c r="J50" s="2" t="n"/>
      <c r="K50" s="2" t="n"/>
      <c r="L50" s="2" t="n"/>
    </row>
    <row r="51">
      <c r="A51" s="5" t="n">
        <v>8</v>
      </c>
      <c r="B51" s="7">
        <f>A51*$B$39</f>
        <v/>
      </c>
      <c r="C51" s="16">
        <f>$B$4/B51</f>
        <v/>
      </c>
      <c r="D51" s="7">
        <f>C51/$B$6</f>
        <v/>
      </c>
      <c r="E51" s="7">
        <f>B51-$B$7</f>
        <v/>
      </c>
      <c r="F51" s="2" t="n"/>
      <c r="G51" s="2" t="n"/>
      <c r="H51" s="2" t="n"/>
      <c r="I51" s="2" t="n"/>
      <c r="J51" s="2" t="n"/>
      <c r="K51" s="2" t="n"/>
      <c r="L51" s="2" t="n"/>
    </row>
    <row r="52">
      <c r="A52" s="5" t="n">
        <v>9</v>
      </c>
      <c r="B52" s="7">
        <f>A52*$B$39</f>
        <v/>
      </c>
      <c r="C52" s="16">
        <f>$B$4/B52</f>
        <v/>
      </c>
      <c r="D52" s="7">
        <f>C52/$B$6</f>
        <v/>
      </c>
      <c r="E52" s="7">
        <f>B52-$B$7</f>
        <v/>
      </c>
      <c r="F52" s="2" t="n"/>
      <c r="G52" s="2" t="n"/>
      <c r="H52" s="2" t="n"/>
      <c r="I52" s="2" t="n"/>
      <c r="J52" s="2" t="n"/>
      <c r="K52" s="2" t="n"/>
      <c r="L52" s="2" t="n"/>
    </row>
    <row r="53">
      <c r="A53" s="5" t="n">
        <v>10</v>
      </c>
      <c r="B53" s="7">
        <f>A53*$B$39</f>
        <v/>
      </c>
      <c r="C53" s="16">
        <f>$B$4/B53</f>
        <v/>
      </c>
      <c r="D53" s="7">
        <f>C53/$B$6</f>
        <v/>
      </c>
      <c r="E53" s="7">
        <f>B53-$B$7</f>
        <v/>
      </c>
      <c r="F53" s="2" t="n"/>
      <c r="G53" s="2" t="n"/>
      <c r="H53" s="2" t="n"/>
      <c r="I53" s="2" t="n"/>
      <c r="J53" s="2" t="n"/>
      <c r="K53" s="2" t="n"/>
      <c r="L53" s="2" t="n"/>
    </row>
    <row r="54">
      <c r="A54" s="5" t="n">
        <v>11</v>
      </c>
      <c r="B54" s="7">
        <f>A54*$B$39</f>
        <v/>
      </c>
      <c r="C54" s="16">
        <f>$B$4/B54</f>
        <v/>
      </c>
      <c r="D54" s="7">
        <f>C54/$B$6</f>
        <v/>
      </c>
      <c r="E54" s="7">
        <f>B54-$B$7</f>
        <v/>
      </c>
      <c r="F54" s="2" t="n"/>
      <c r="G54" s="2" t="n"/>
      <c r="H54" s="2" t="n"/>
      <c r="I54" s="2" t="n"/>
      <c r="J54" s="2" t="n"/>
      <c r="K54" s="2" t="n"/>
      <c r="L54" s="2" t="n"/>
    </row>
    <row r="55">
      <c r="A55" s="5" t="n">
        <v>12</v>
      </c>
      <c r="B55" s="7">
        <f>A55*$B$39</f>
        <v/>
      </c>
      <c r="C55" s="16">
        <f>$B$4/B55</f>
        <v/>
      </c>
      <c r="D55" s="7">
        <f>C55/$B$6</f>
        <v/>
      </c>
      <c r="E55" s="7">
        <f>B55-$B$7</f>
        <v/>
      </c>
      <c r="F55" s="2" t="n"/>
      <c r="G55" s="2" t="n"/>
      <c r="H55" s="2" t="n"/>
      <c r="I55" s="2" t="n"/>
      <c r="J55" s="2" t="n"/>
      <c r="K55" s="2" t="n"/>
      <c r="L55" s="2" t="n"/>
    </row>
  </sheetData>
  <mergeCells count="1">
    <mergeCell ref="A1:L1"/>
  </mergeCells>
  <conditionalFormatting sqref="E44:E5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7" customWidth="1" min="4" max="4"/>
    <col width="40" customWidth="1" min="5" max="5"/>
    <col width="40" customWidth="1" min="6" max="6"/>
    <col width="24" customWidth="1" min="7" max="7"/>
    <col width="40" customWidth="1" min="8" max="8"/>
    <col width="37" customWidth="1" min="9" max="9"/>
    <col width="23" customWidth="1" min="10" max="10"/>
    <col width="55" customWidth="1" min="11" max="11"/>
    <col width="10" customWidth="1" min="12" max="12"/>
  </cols>
  <sheetData>
    <row r="1" ht="26" customHeight="1">
      <c r="A1" s="1" t="inlineStr">
        <is>
          <t>Fleet and Welding Capacity Sensitivities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Scenario</t>
        </is>
      </c>
      <c r="B3" s="6" t="inlineStr">
        <is>
          <t>Weld crews/set</t>
        </is>
      </c>
      <c r="C3" s="6" t="inlineStr">
        <is>
          <t>Accepted lm/crew-shift</t>
        </is>
      </c>
      <c r="D3" s="6" t="inlineStr">
        <is>
          <t>Routine approval hold (d)</t>
        </is>
      </c>
      <c r="E3" s="6" t="inlineStr">
        <is>
          <t>Other fixed shifts</t>
        </is>
      </c>
      <c r="F3" s="6" t="inlineStr">
        <is>
          <t>Relocation shifts</t>
        </is>
      </c>
      <c r="G3" s="6" t="inlineStr">
        <is>
          <t>Cycle shifts</t>
        </is>
      </c>
      <c r="H3" s="6" t="inlineStr">
        <is>
          <t>Rate/set/week</t>
        </is>
      </c>
      <c r="I3" s="6" t="inlineStr">
        <is>
          <t>Sets required</t>
        </is>
      </c>
      <c r="J3" s="6" t="inlineStr">
        <is>
          <t>Indicative weld crews</t>
        </is>
      </c>
      <c r="K3" s="6" t="inlineStr">
        <is>
          <t>Status / interpretation</t>
        </is>
      </c>
      <c r="L3" s="2" t="n"/>
    </row>
    <row r="4">
      <c r="A4" s="5" t="inlineStr">
        <is>
          <t>S1 Base incomplete</t>
        </is>
      </c>
      <c r="B4" s="7" t="n">
        <v>2</v>
      </c>
      <c r="C4" s="7" t="n">
        <v>6</v>
      </c>
      <c r="D4" s="7" t="n">
        <v>3</v>
      </c>
      <c r="E4" s="7">
        <f>'08 Productivity'!B17+'08 Productivity'!B18+'08 Productivity'!B19+'08 Productivity'!B20+5.5</f>
        <v/>
      </c>
      <c r="F4" s="7">
        <f>'08 Productivity'!B15/'08 Productivity'!B16</f>
        <v/>
      </c>
      <c r="G4" s="7">
        <f>E4+(53/(B4*C4))+D4+F4</f>
        <v/>
      </c>
      <c r="H4" s="7">
        <f>'08 Productivity'!B8*'08 Productivity'!B9*'08 Productivity'!B10/G4</f>
        <v/>
      </c>
      <c r="I4" s="7">
        <f>ROUNDUP('08 Productivity'!B7/H4,0)</f>
        <v/>
      </c>
      <c r="J4" s="5">
        <f>B4*I4</f>
        <v/>
      </c>
      <c r="K4" s="5" t="inlineStr">
        <is>
          <t>Diagnostic sensitivity only; open activities remain.</t>
        </is>
      </c>
      <c r="L4" s="2" t="n"/>
    </row>
    <row r="5">
      <c r="A5" s="5" t="inlineStr">
        <is>
          <t>S2 Improved welding</t>
        </is>
      </c>
      <c r="B5" s="7" t="n">
        <v>4</v>
      </c>
      <c r="C5" s="7" t="n">
        <v>8</v>
      </c>
      <c r="D5" s="7" t="n">
        <v>3</v>
      </c>
      <c r="E5" s="7">
        <f>'08 Productivity'!B17+'08 Productivity'!B18+'08 Productivity'!B19+'08 Productivity'!B20+5.5</f>
        <v/>
      </c>
      <c r="F5" s="7">
        <f>'08 Productivity'!B15/'08 Productivity'!B16</f>
        <v/>
      </c>
      <c r="G5" s="7">
        <f>E5+(53/(B5*C5))+D5+F5</f>
        <v/>
      </c>
      <c r="H5" s="7">
        <f>'08 Productivity'!B8*'08 Productivity'!B9*'08 Productivity'!B10/G5</f>
        <v/>
      </c>
      <c r="I5" s="7">
        <f>ROUNDUP('08 Productivity'!B7/H5,0)</f>
        <v/>
      </c>
      <c r="J5" s="5">
        <f>B5*I5</f>
        <v/>
      </c>
      <c r="K5" s="5" t="inlineStr">
        <is>
          <t>Diagnostic sensitivity only; open activities remain.</t>
        </is>
      </c>
      <c r="L5" s="2" t="n"/>
    </row>
    <row r="6">
      <c r="A6" s="5" t="inlineStr">
        <is>
          <t>S3 Repair library / reduced hold</t>
        </is>
      </c>
      <c r="B6" s="7" t="n">
        <v>4</v>
      </c>
      <c r="C6" s="7" t="n">
        <v>8</v>
      </c>
      <c r="D6" s="7" t="n">
        <v>0</v>
      </c>
      <c r="E6" s="7">
        <f>'08 Productivity'!B17+'08 Productivity'!B18+'08 Productivity'!B19+'08 Productivity'!B20+5.5</f>
        <v/>
      </c>
      <c r="F6" s="7">
        <f>'08 Productivity'!B15/'08 Productivity'!B16</f>
        <v/>
      </c>
      <c r="G6" s="7">
        <f>E6+(53/(B6*C6))+D6+F6</f>
        <v/>
      </c>
      <c r="H6" s="7">
        <f>'08 Productivity'!B8*'08 Productivity'!B9*'08 Productivity'!B10/G6</f>
        <v/>
      </c>
      <c r="I6" s="7">
        <f>ROUNDUP('08 Productivity'!B7/H6,0)</f>
        <v/>
      </c>
      <c r="J6" s="5">
        <f>B6*I6</f>
        <v/>
      </c>
      <c r="K6" s="5" t="inlineStr">
        <is>
          <t>Diagnostic sensitivity only; open activities remain.</t>
        </is>
      </c>
      <c r="L6" s="2" t="n"/>
    </row>
    <row r="7">
      <c r="A7" s="5" t="inlineStr">
        <is>
          <t>S4 Strong weld + reduced hold</t>
        </is>
      </c>
      <c r="B7" s="7" t="n">
        <v>6</v>
      </c>
      <c r="C7" s="7" t="n">
        <v>10</v>
      </c>
      <c r="D7" s="7" t="n">
        <v>0</v>
      </c>
      <c r="E7" s="7">
        <f>'08 Productivity'!B17+'08 Productivity'!B18+'08 Productivity'!B19+'08 Productivity'!B20+5.5</f>
        <v/>
      </c>
      <c r="F7" s="7">
        <f>'08 Productivity'!B15/'08 Productivity'!B16</f>
        <v/>
      </c>
      <c r="G7" s="7">
        <f>E7+(53/(B7*C7))+D7+F7</f>
        <v/>
      </c>
      <c r="H7" s="7">
        <f>'08 Productivity'!B8*'08 Productivity'!B9*'08 Productivity'!B10/G7</f>
        <v/>
      </c>
      <c r="I7" s="7">
        <f>ROUNDUP('08 Productivity'!B7/H7,0)</f>
        <v/>
      </c>
      <c r="J7" s="5">
        <f>B7*I7</f>
        <v/>
      </c>
      <c r="K7" s="5" t="inlineStr">
        <is>
          <t>Upper-bound sensitivity; not executable without proving.</t>
        </is>
      </c>
      <c r="L7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24" customWidth="1" min="4" max="4"/>
    <col width="16" customWidth="1" min="5" max="5"/>
    <col width="20" customWidth="1" min="6" max="6"/>
    <col width="35" customWidth="1" min="7" max="7"/>
    <col width="48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Indicative Stage 1 to Execution Programme and Calendar Gates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WBS</t>
        </is>
      </c>
      <c r="B3" s="6" t="inlineStr">
        <is>
          <t>Activity</t>
        </is>
      </c>
      <c r="C3" s="6" t="inlineStr">
        <is>
          <t>Responsible party</t>
        </is>
      </c>
      <c r="D3" s="6" t="inlineStr">
        <is>
          <t>Start basis</t>
        </is>
      </c>
      <c r="E3" s="6" t="inlineStr">
        <is>
          <t>Duration weeks</t>
        </is>
      </c>
      <c r="F3" s="6" t="inlineStr">
        <is>
          <t>Predecessor</t>
        </is>
      </c>
      <c r="G3" s="6" t="inlineStr">
        <is>
          <t>Calendar treatment</t>
        </is>
      </c>
      <c r="H3" s="6" t="inlineStr">
        <is>
          <t>Output / acceptance</t>
        </is>
      </c>
      <c r="I3" s="2" t="n"/>
      <c r="J3" s="2" t="n"/>
      <c r="K3" s="2" t="n"/>
      <c r="L3" s="2" t="n"/>
    </row>
    <row r="4">
      <c r="A4" s="5" t="inlineStr">
        <is>
          <t>A1</t>
        </is>
      </c>
      <c r="B4" s="5" t="inlineStr">
        <is>
          <t>STL confirm priority and remaining bent register</t>
        </is>
      </c>
      <c r="C4" s="5" t="inlineStr">
        <is>
          <t>STL</t>
        </is>
      </c>
      <c r="D4" s="5" t="inlineStr">
        <is>
          <t>Immediate</t>
        </is>
      </c>
      <c r="E4" s="5" t="n">
        <v>1</v>
      </c>
      <c r="F4" s="5" t="inlineStr">
        <is>
          <t>None</t>
        </is>
      </c>
      <c r="G4" s="5" t="inlineStr">
        <is>
          <t>Working days</t>
        </is>
      </c>
      <c r="H4" s="5" t="inlineStr">
        <is>
          <t>As-at-date register by bent/family/status</t>
        </is>
      </c>
      <c r="I4" s="2" t="n"/>
      <c r="J4" s="2" t="n"/>
      <c r="K4" s="2" t="n"/>
      <c r="L4" s="2" t="n"/>
    </row>
    <row r="5">
      <c r="A5" s="5" t="inlineStr">
        <is>
          <t>A2</t>
        </is>
      </c>
      <c r="B5" s="5" t="inlineStr">
        <is>
          <t>Bathymetric/seabed and metocean data confirmation</t>
        </is>
      </c>
      <c r="C5" s="5" t="inlineStr">
        <is>
          <t>STL / surveyor</t>
        </is>
      </c>
      <c r="D5" s="5" t="inlineStr">
        <is>
          <t>Immediate</t>
        </is>
      </c>
      <c r="E5" s="5" t="n">
        <v>4</v>
      </c>
      <c r="F5" s="5" t="inlineStr">
        <is>
          <t>None</t>
        </is>
      </c>
      <c r="G5" s="5" t="inlineStr">
        <is>
          <t>Marine survey window</t>
        </is>
      </c>
      <c r="H5" s="5" t="inlineStr">
        <is>
          <t>Data accepted for JUB/platform design</t>
        </is>
      </c>
      <c r="I5" s="2" t="n"/>
      <c r="J5" s="2" t="n"/>
      <c r="K5" s="2" t="n"/>
      <c r="L5" s="2" t="n"/>
    </row>
    <row r="6">
      <c r="A6" s="5" t="inlineStr">
        <is>
          <t>A3</t>
        </is>
      </c>
      <c r="B6" s="5" t="inlineStr">
        <is>
          <t>GGC platform/containment technical and commercial offer</t>
        </is>
      </c>
      <c r="C6" s="5" t="inlineStr">
        <is>
          <t>GGC</t>
        </is>
      </c>
      <c r="D6" s="5" t="inlineStr">
        <is>
          <t>Immediate</t>
        </is>
      </c>
      <c r="E6" s="5" t="n">
        <v>2</v>
      </c>
      <c r="F6" s="5" t="inlineStr">
        <is>
          <t>None</t>
        </is>
      </c>
      <c r="G6" s="5" t="inlineStr">
        <is>
          <t>Calendar</t>
        </is>
      </c>
      <c r="H6" s="5" t="inlineStr">
        <is>
          <t>Dimensions, mass, capacity, winch, availability, rates</t>
        </is>
      </c>
      <c r="I6" s="2" t="n"/>
      <c r="J6" s="2" t="n"/>
      <c r="K6" s="2" t="n"/>
      <c r="L6" s="2" t="n"/>
    </row>
    <row r="7">
      <c r="A7" s="5" t="inlineStr">
        <is>
          <t>A4</t>
        </is>
      </c>
      <c r="B7" s="5" t="inlineStr">
        <is>
          <t>JUB/workboat market sounding and quotes</t>
        </is>
      </c>
      <c r="C7" s="5" t="inlineStr">
        <is>
          <t>Endura / suppliers</t>
        </is>
      </c>
      <c r="D7" s="5" t="inlineStr">
        <is>
          <t>Immediate</t>
        </is>
      </c>
      <c r="E7" s="5" t="n">
        <v>2</v>
      </c>
      <c r="F7" s="5" t="inlineStr">
        <is>
          <t>None</t>
        </is>
      </c>
      <c r="G7" s="5" t="inlineStr">
        <is>
          <t>Calendar</t>
        </is>
      </c>
      <c r="H7" s="5" t="inlineStr">
        <is>
          <t>Candidate spread, availability, rate and limitations</t>
        </is>
      </c>
      <c r="I7" s="2" t="n"/>
      <c r="J7" s="2" t="n"/>
      <c r="K7" s="2" t="n"/>
      <c r="L7" s="2" t="n"/>
    </row>
    <row r="8">
      <c r="A8" s="5" t="inlineStr">
        <is>
          <t>A5</t>
        </is>
      </c>
      <c r="B8" s="5" t="inlineStr">
        <is>
          <t>Concept option screening and STL workshop</t>
        </is>
      </c>
      <c r="C8" s="5" t="inlineStr">
        <is>
          <t>Endura / STL</t>
        </is>
      </c>
      <c r="D8" s="5" t="inlineStr">
        <is>
          <t>After A1-A4 initial</t>
        </is>
      </c>
      <c r="E8" s="5" t="n">
        <v>1</v>
      </c>
      <c r="F8" s="5" t="inlineStr">
        <is>
          <t>A1,A3,A4</t>
        </is>
      </c>
      <c r="G8" s="5" t="inlineStr">
        <is>
          <t>Working days</t>
        </is>
      </c>
      <c r="H8" s="5" t="inlineStr">
        <is>
          <t>Selected direction and actions</t>
        </is>
      </c>
      <c r="I8" s="2" t="n"/>
      <c r="J8" s="2" t="n"/>
      <c r="K8" s="2" t="n"/>
      <c r="L8" s="2" t="n"/>
    </row>
    <row r="9">
      <c r="A9" s="5" t="inlineStr">
        <is>
          <t>B1</t>
        </is>
      </c>
      <c r="B9" s="5" t="inlineStr">
        <is>
          <t>Temporary works concept and load-path design</t>
        </is>
      </c>
      <c r="C9" s="5" t="inlineStr">
        <is>
          <t>Execution contractor/RPEQ</t>
        </is>
      </c>
      <c r="D9" s="5" t="inlineStr">
        <is>
          <t>After supplier selection</t>
        </is>
      </c>
      <c r="E9" s="5" t="n">
        <v>6</v>
      </c>
      <c r="F9" s="5" t="inlineStr">
        <is>
          <t>A2,A3,A5</t>
        </is>
      </c>
      <c r="G9" s="5" t="inlineStr">
        <is>
          <t>Working days</t>
        </is>
      </c>
      <c r="H9" s="5" t="inlineStr">
        <is>
          <t>Checked concept drawings and load schedule</t>
        </is>
      </c>
      <c r="I9" s="2" t="n"/>
      <c r="J9" s="2" t="n"/>
      <c r="K9" s="2" t="n"/>
      <c r="L9" s="2" t="n"/>
    </row>
    <row r="10">
      <c r="A10" s="5" t="inlineStr">
        <is>
          <t>B2</t>
        </is>
      </c>
      <c r="B10" s="5" t="inlineStr">
        <is>
          <t>Containment/headstock/below-LAT method development</t>
        </is>
      </c>
      <c r="C10" s="5" t="inlineStr">
        <is>
          <t>Supplier / engineer</t>
        </is>
      </c>
      <c r="D10" s="5" t="inlineStr">
        <is>
          <t>After supplier selection</t>
        </is>
      </c>
      <c r="E10" s="5" t="n">
        <v>6</v>
      </c>
      <c r="F10" s="5" t="inlineStr">
        <is>
          <t>A3,A5</t>
        </is>
      </c>
      <c r="G10" s="5" t="inlineStr">
        <is>
          <t>Working days</t>
        </is>
      </c>
      <c r="H10" s="5" t="inlineStr">
        <is>
          <t>Accepted method and cycle basis</t>
        </is>
      </c>
      <c r="I10" s="2" t="n"/>
      <c r="J10" s="2" t="n"/>
      <c r="K10" s="2" t="n"/>
      <c r="L10" s="2" t="n"/>
    </row>
    <row r="11">
      <c r="A11" s="5" t="inlineStr">
        <is>
          <t>B3</t>
        </is>
      </c>
      <c r="B11" s="5" t="inlineStr">
        <is>
          <t>Marine operations, SIMOPS, environmental and approvals plan</t>
        </is>
      </c>
      <c r="C11" s="5" t="inlineStr">
        <is>
          <t>Marine/HSE team</t>
        </is>
      </c>
      <c r="D11" s="5" t="inlineStr">
        <is>
          <t>After A2,A4</t>
        </is>
      </c>
      <c r="E11" s="5" t="n">
        <v>8</v>
      </c>
      <c r="F11" s="5" t="inlineStr">
        <is>
          <t>A2,A4,A5</t>
        </is>
      </c>
      <c r="G11" s="5" t="inlineStr">
        <is>
          <t>Working days</t>
        </is>
      </c>
      <c r="H11" s="5" t="inlineStr">
        <is>
          <t>Approval-ready plans</t>
        </is>
      </c>
      <c r="I11" s="2" t="n"/>
      <c r="J11" s="2" t="n"/>
      <c r="K11" s="2" t="n"/>
      <c r="L11" s="2" t="n"/>
    </row>
    <row r="12">
      <c r="A12" s="5" t="inlineStr">
        <is>
          <t>B4</t>
        </is>
      </c>
      <c r="B12" s="5" t="inlineStr">
        <is>
          <t>Detailed cost, dated programme and procurement strategy</t>
        </is>
      </c>
      <c r="C12" s="5" t="inlineStr">
        <is>
          <t>Endura</t>
        </is>
      </c>
      <c r="D12" s="5" t="inlineStr">
        <is>
          <t>After B1-B3</t>
        </is>
      </c>
      <c r="E12" s="5" t="n">
        <v>4</v>
      </c>
      <c r="F12" s="5" t="inlineStr">
        <is>
          <t>B1,B2,B3</t>
        </is>
      </c>
      <c r="G12" s="5" t="inlineStr">
        <is>
          <t>Working days</t>
        </is>
      </c>
      <c r="H12" s="5" t="inlineStr">
        <is>
          <t>Board-ready comparison</t>
        </is>
      </c>
      <c r="I12" s="2" t="n"/>
      <c r="J12" s="2" t="n"/>
      <c r="K12" s="2" t="n"/>
      <c r="L12" s="2" t="n"/>
    </row>
    <row r="13">
      <c r="A13" s="5" t="inlineStr">
        <is>
          <t>C1</t>
        </is>
      </c>
      <c r="B13" s="5" t="inlineStr">
        <is>
          <t>Fabricate/modify access sets and containment</t>
        </is>
      </c>
      <c r="C13" s="5" t="inlineStr">
        <is>
          <t>Supplier</t>
        </is>
      </c>
      <c r="D13" s="5" t="inlineStr">
        <is>
          <t>After approval</t>
        </is>
      </c>
      <c r="E13" s="5" t="n">
        <v>10</v>
      </c>
      <c r="F13" s="5" t="inlineStr">
        <is>
          <t>B1,B2,B4</t>
        </is>
      </c>
      <c r="G13" s="5" t="inlineStr">
        <is>
          <t>Calendar/long lead</t>
        </is>
      </c>
      <c r="H13" s="5" t="inlineStr">
        <is>
          <t>Factory acceptance and load test</t>
        </is>
      </c>
      <c r="I13" s="2" t="n"/>
      <c r="J13" s="2" t="n"/>
      <c r="K13" s="2" t="n"/>
      <c r="L13" s="2" t="n"/>
    </row>
    <row r="14">
      <c r="A14" s="5" t="inlineStr">
        <is>
          <t>C2</t>
        </is>
      </c>
      <c r="B14" s="5" t="inlineStr">
        <is>
          <t>Mobilise marine spread and establish shore base</t>
        </is>
      </c>
      <c r="C14" s="5" t="inlineStr">
        <is>
          <t>Contractor</t>
        </is>
      </c>
      <c r="D14" s="5" t="inlineStr">
        <is>
          <t>Dry-season start</t>
        </is>
      </c>
      <c r="E14" s="5" t="n">
        <v>3</v>
      </c>
      <c r="F14" s="5" t="inlineStr">
        <is>
          <t>C1,B3</t>
        </is>
      </c>
      <c r="G14" s="5" t="inlineStr">
        <is>
          <t>Marine weather</t>
        </is>
      </c>
      <c r="H14" s="5" t="inlineStr">
        <is>
          <t>Ready for proving</t>
        </is>
      </c>
      <c r="I14" s="2" t="n"/>
      <c r="J14" s="2" t="n"/>
      <c r="K14" s="2" t="n"/>
      <c r="L14" s="2" t="n"/>
    </row>
    <row r="15">
      <c r="A15" s="5" t="inlineStr">
        <is>
          <t>C3</t>
        </is>
      </c>
      <c r="B15" s="5" t="inlineStr">
        <is>
          <t>Two-set proving campaign on representative bent families</t>
        </is>
      </c>
      <c r="C15" s="5" t="inlineStr">
        <is>
          <t>Contractor / Endura / STL</t>
        </is>
      </c>
      <c r="D15" s="5" t="inlineStr">
        <is>
          <t>After C2</t>
        </is>
      </c>
      <c r="E15" s="5" t="n">
        <v>4</v>
      </c>
      <c r="F15" s="5" t="inlineStr">
        <is>
          <t>C2</t>
        </is>
      </c>
      <c r="G15" s="5" t="inlineStr">
        <is>
          <t>Dated calendar</t>
        </is>
      </c>
      <c r="H15" s="5" t="inlineStr">
        <is>
          <t>Timed cycles, acceptance, safe limits</t>
        </is>
      </c>
      <c r="I15" s="2" t="n"/>
      <c r="J15" s="2" t="n"/>
      <c r="K15" s="2" t="n"/>
      <c r="L15" s="2" t="n"/>
    </row>
    <row r="16">
      <c r="A16" s="5" t="inlineStr">
        <is>
          <t>C4</t>
        </is>
      </c>
      <c r="B16" s="5" t="inlineStr">
        <is>
          <t>Update fleet/resource/cost model and production decision</t>
        </is>
      </c>
      <c r="C16" s="5" t="inlineStr">
        <is>
          <t>Endura / STL</t>
        </is>
      </c>
      <c r="D16" s="5" t="inlineStr">
        <is>
          <t>After proving</t>
        </is>
      </c>
      <c r="E16" s="5" t="n">
        <v>2</v>
      </c>
      <c r="F16" s="5" t="inlineStr">
        <is>
          <t>C3</t>
        </is>
      </c>
      <c r="G16" s="5" t="inlineStr">
        <is>
          <t>Working days</t>
        </is>
      </c>
      <c r="H16" s="5" t="inlineStr">
        <is>
          <t>Approved production configuration</t>
        </is>
      </c>
      <c r="I16" s="2" t="n"/>
      <c r="J16" s="2" t="n"/>
      <c r="K16" s="2" t="n"/>
      <c r="L16" s="2" t="n"/>
    </row>
    <row r="17">
      <c r="A17" s="5" t="inlineStr">
        <is>
          <t>D1</t>
        </is>
      </c>
      <c r="B17" s="5" t="inlineStr">
        <is>
          <t>Production ramp-up</t>
        </is>
      </c>
      <c r="C17" s="5" t="inlineStr">
        <is>
          <t>Contractor</t>
        </is>
      </c>
      <c r="D17" s="5" t="inlineStr">
        <is>
          <t>After C4</t>
        </is>
      </c>
      <c r="E17" s="5" t="n">
        <v>4</v>
      </c>
      <c r="F17" s="5" t="inlineStr">
        <is>
          <t>C4</t>
        </is>
      </c>
      <c r="G17" s="5" t="inlineStr">
        <is>
          <t>Explicit ramp-up</t>
        </is>
      </c>
      <c r="H17" s="5" t="inlineStr">
        <is>
          <t>Stable QA-closed output</t>
        </is>
      </c>
      <c r="I17" s="2" t="n"/>
      <c r="J17" s="2" t="n"/>
      <c r="K17" s="2" t="n"/>
      <c r="L17" s="2" t="n"/>
    </row>
    <row r="18">
      <c r="A18" s="5" t="inlineStr">
        <is>
          <t>D2</t>
        </is>
      </c>
      <c r="B18" s="5" t="inlineStr">
        <is>
          <t>2027 production season</t>
        </is>
      </c>
      <c r="C18" s="5" t="inlineStr">
        <is>
          <t>Contractor</t>
        </is>
      </c>
      <c r="D18" s="5" t="inlineStr">
        <is>
          <t>Mar-Nov 2027</t>
        </is>
      </c>
      <c r="E18" s="5" t="n">
        <v>30</v>
      </c>
      <c r="F18" s="5" t="inlineStr">
        <is>
          <t>D1</t>
        </is>
      </c>
      <c r="G18" s="5" t="inlineStr">
        <is>
          <t>Explicit outages/ship calls</t>
        </is>
      </c>
      <c r="H18" s="5" t="inlineStr">
        <is>
          <t>QA-closed bents</t>
        </is>
      </c>
      <c r="I18" s="2" t="n"/>
      <c r="J18" s="2" t="n"/>
      <c r="K18" s="2" t="n"/>
      <c r="L18" s="2" t="n"/>
    </row>
    <row r="19">
      <c r="A19" s="5" t="inlineStr">
        <is>
          <t>D3</t>
        </is>
      </c>
      <c r="B19" s="5" t="inlineStr">
        <is>
          <t>Wet-season demob and preservation</t>
        </is>
      </c>
      <c r="C19" s="5" t="inlineStr">
        <is>
          <t>Contractor</t>
        </is>
      </c>
      <c r="D19" s="5" t="inlineStr">
        <is>
          <t>Dec 2027-Feb 2028</t>
        </is>
      </c>
      <c r="E19" s="5" t="n">
        <v>12</v>
      </c>
      <c r="F19" s="5" t="inlineStr">
        <is>
          <t>D2</t>
        </is>
      </c>
      <c r="G19" s="5" t="inlineStr">
        <is>
          <t>No production</t>
        </is>
      </c>
      <c r="H19" s="5" t="inlineStr">
        <is>
          <t>Fleet secured/preserved</t>
        </is>
      </c>
      <c r="I19" s="2" t="n"/>
      <c r="J19" s="2" t="n"/>
      <c r="K19" s="2" t="n"/>
      <c r="L19" s="2" t="n"/>
    </row>
    <row r="20">
      <c r="A20" s="5" t="inlineStr">
        <is>
          <t>D4</t>
        </is>
      </c>
      <c r="B20" s="5" t="inlineStr">
        <is>
          <t>2028 remobilisation and production</t>
        </is>
      </c>
      <c r="C20" s="5" t="inlineStr">
        <is>
          <t>Contractor</t>
        </is>
      </c>
      <c r="D20" s="5" t="inlineStr">
        <is>
          <t>Mar-Nov 2028</t>
        </is>
      </c>
      <c r="E20" s="5" t="n">
        <v>30</v>
      </c>
      <c r="F20" s="5" t="inlineStr">
        <is>
          <t>D3</t>
        </is>
      </c>
      <c r="G20" s="5" t="inlineStr">
        <is>
          <t>Explicit outages/ship calls</t>
        </is>
      </c>
      <c r="H20" s="5" t="inlineStr">
        <is>
          <t>Priority scope complete by end 2028</t>
        </is>
      </c>
      <c r="I20" s="2" t="n"/>
      <c r="J20" s="2" t="n"/>
      <c r="K20" s="2" t="n"/>
      <c r="L20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  <col width="58" customWidth="1" min="3" max="3"/>
    <col width="30" customWidth="1" min="4" max="4"/>
    <col width="4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Current Method versus Candidate Marine Access System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Criterion</t>
        </is>
      </c>
      <c r="B3" s="6" t="inlineStr">
        <is>
          <t>Current scaffold methodology</t>
        </is>
      </c>
      <c r="C3" s="6" t="inlineStr">
        <is>
          <t>Candidate marine access methodology</t>
        </is>
      </c>
      <c r="D3" s="6" t="inlineStr">
        <is>
          <t>Evidence maturity</t>
        </is>
      </c>
      <c r="E3" s="6" t="inlineStr">
        <is>
          <t>Decision consequence</t>
        </is>
      </c>
      <c r="F3" s="2" t="n"/>
      <c r="G3" s="2" t="n"/>
      <c r="H3" s="2" t="n"/>
      <c r="I3" s="2" t="n"/>
      <c r="J3" s="2" t="n"/>
      <c r="K3" s="2" t="n"/>
      <c r="L3" s="2" t="n"/>
    </row>
    <row r="4">
      <c r="A4" s="5" t="inlineStr">
        <is>
          <t>Access establishment</t>
        </is>
      </c>
      <c r="B4" s="5" t="inlineStr">
        <is>
          <t>Full scaffold and encapsulation built/stripped at each bent, typically 3-5 days combined access handling</t>
        </is>
      </c>
      <c r="C4" s="5" t="inlineStr">
        <is>
          <t>Reusable platforms lowered, towed, lifted and recommissioned; current working allowance 11 h per move</t>
        </is>
      </c>
      <c r="D4" s="5" t="inlineStr">
        <is>
          <t>Current verified; proposed unverified trial basis</t>
        </is>
      </c>
      <c r="E4" s="5" t="inlineStr">
        <is>
          <t>Strong potential schedule improvement if supplier configuration and weather limits are proven</t>
        </is>
      </c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Current demonstrated output</t>
        </is>
      </c>
      <c r="B5" s="5" t="inlineStr">
        <is>
          <t>0.36 safe-access bent-equivalents/week; completed-bent rate not verifiable</t>
        </is>
      </c>
      <c r="C5" s="5" t="inlineStr">
        <is>
          <t>Output is scenario-based QA-closed bents/week; no demonstrated project rate yet</t>
        </is>
      </c>
      <c r="D5" s="5" t="inlineStr">
        <is>
          <t>Current claim evidence vs proposed model</t>
        </is>
      </c>
      <c r="E5" s="5" t="inlineStr">
        <is>
          <t>Do not present a direct uplift ratio</t>
        </is>
      </c>
      <c r="F5" s="2" t="n"/>
      <c r="G5" s="2" t="n"/>
      <c r="H5" s="2" t="n"/>
      <c r="I5" s="2" t="n"/>
      <c r="J5" s="2" t="n"/>
      <c r="K5" s="2" t="n"/>
      <c r="L5" s="2" t="n"/>
    </row>
    <row r="6">
      <c r="A6" s="5" t="inlineStr">
        <is>
          <t>Workface concurrency</t>
        </is>
      </c>
      <c r="B6" s="5" t="inlineStr">
        <is>
          <t>Four scaffold sets did not give four continuously usable fronts; up to nine bents WIP in programme</t>
        </is>
      </c>
      <c r="C6" s="5" t="inlineStr">
        <is>
          <t>Multiple access sets/pairs can be scaled; final fleet is model output</t>
        </is>
      </c>
      <c r="D6" s="5" t="inlineStr">
        <is>
          <t>Concept only</t>
        </is>
      </c>
      <c r="E6" s="5" t="inlineStr">
        <is>
          <t>Two sets are proving pair, not automatically production fleet</t>
        </is>
      </c>
      <c r="F6" s="2" t="n"/>
      <c r="G6" s="2" t="n"/>
      <c r="H6" s="2" t="n"/>
      <c r="I6" s="2" t="n"/>
      <c r="J6" s="2" t="n"/>
      <c r="K6" s="2" t="n"/>
      <c r="L6" s="2" t="n"/>
    </row>
    <row r="7">
      <c r="A7" s="5" t="inlineStr">
        <is>
          <t>Approval hold</t>
        </is>
      </c>
      <c r="B7" s="5" t="inlineStr">
        <is>
          <t>Approximately 3 days with scaffold standing</t>
        </is>
      </c>
      <c r="C7" s="5" t="inlineStr">
        <is>
          <t>One bent-level hold proposed after exposing both piles/headstock; repair library sensitivity</t>
        </is>
      </c>
      <c r="D7" s="5" t="inlineStr">
        <is>
          <t>Requires Jed/reviewing engineer confirmation</t>
        </is>
      </c>
      <c r="E7" s="5" t="inlineStr">
        <is>
          <t>Can materially alter fleet requirement</t>
        </is>
      </c>
      <c r="F7" s="2" t="n"/>
      <c r="G7" s="2" t="n"/>
      <c r="H7" s="2" t="n"/>
      <c r="I7" s="2" t="n"/>
      <c r="J7" s="2" t="n"/>
      <c r="K7" s="2" t="n"/>
      <c r="L7" s="2" t="n"/>
    </row>
    <row r="8">
      <c r="A8" s="5" t="inlineStr">
        <is>
          <t>Welding</t>
        </is>
      </c>
      <c r="B8" s="5" t="inlineStr">
        <is>
          <t>473 lm claimed; ~52.6 lm per inspection-equivalent; 10 mm dominates</t>
        </is>
      </c>
      <c r="C8" s="5" t="inlineStr">
        <is>
          <t>Largest modelled activity; accepted lm/crew-shift and safe zones must be trialled</t>
        </is>
      </c>
      <c r="D8" s="5" t="inlineStr">
        <is>
          <t>Current quantity verified; proposed rate assumption</t>
        </is>
      </c>
      <c r="E8" s="5" t="inlineStr">
        <is>
          <t>May drive crew/fleet configuration</t>
        </is>
      </c>
      <c r="F8" s="2" t="n"/>
      <c r="G8" s="2" t="n"/>
      <c r="H8" s="2" t="n"/>
      <c r="I8" s="2" t="n"/>
      <c r="J8" s="2" t="n"/>
      <c r="K8" s="2" t="n"/>
      <c r="L8" s="2" t="n"/>
    </row>
    <row r="9">
      <c r="A9" s="5" t="inlineStr">
        <is>
          <t>Containment</t>
        </is>
      </c>
      <c r="B9" s="5" t="inlineStr">
        <is>
          <t>Whole bent scaffold wrap</t>
        </is>
      </c>
      <c r="C9" s="5" t="inlineStr">
        <is>
          <t>Reusable half-shell pile containment; headstock enclosure unresolved</t>
        </is>
      </c>
      <c r="D9" s="5" t="inlineStr">
        <is>
          <t>Supplier gate</t>
        </is>
      </c>
      <c r="E9" s="5" t="inlineStr">
        <is>
          <t>Major constructability and environmental gate</t>
        </is>
      </c>
      <c r="F9" s="2" t="n"/>
      <c r="G9" s="2" t="n"/>
      <c r="H9" s="2" t="n"/>
      <c r="I9" s="2" t="n"/>
      <c r="J9" s="2" t="n"/>
      <c r="K9" s="2" t="n"/>
      <c r="L9" s="2" t="n"/>
    </row>
    <row r="10">
      <c r="A10" s="5" t="inlineStr">
        <is>
          <t>Tide exposure</t>
        </is>
      </c>
      <c r="B10" s="5" t="inlineStr">
        <is>
          <t>Lower access and jackets tide/weather limited</t>
        </is>
      </c>
      <c r="C10" s="5" t="inlineStr">
        <is>
          <t>Platform follows work height; below-LAT jacket remains unresolved</t>
        </is>
      </c>
      <c r="D10" s="5" t="inlineStr">
        <is>
          <t>Partial</t>
        </is>
      </c>
      <c r="E10" s="5" t="inlineStr">
        <is>
          <t>Reduces but does not eliminate tidal dependence</t>
        </is>
      </c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Roadway logistics</t>
        </is>
      </c>
      <c r="B11" s="5" t="inlineStr">
        <is>
          <t>Single lane used for scaffold/materials and light plant</t>
        </is>
      </c>
      <c r="C11" s="5" t="inlineStr">
        <is>
          <t>Crew/light duties by road; heavy materials, utilities and waste via JUB/water</t>
        </is>
      </c>
      <c r="D11" s="5" t="inlineStr">
        <is>
          <t>Concept</t>
        </is>
      </c>
      <c r="E11" s="5" t="inlineStr">
        <is>
          <t>Reduces congestion subject to marine logistics capacity</t>
        </is>
      </c>
      <c r="F11" s="2" t="n"/>
      <c r="G11" s="2" t="n"/>
      <c r="H11" s="2" t="n"/>
      <c r="I11" s="2" t="n"/>
      <c r="J11" s="2" t="n"/>
      <c r="K11" s="2" t="n"/>
      <c r="L11" s="2" t="n"/>
    </row>
    <row r="12">
      <c r="A12" s="5" t="inlineStr">
        <is>
          <t>Ship/cyclone response</t>
        </is>
      </c>
      <c r="B12" s="5" t="inlineStr">
        <is>
          <t>Make-safe and weather disruption evidenced</t>
        </is>
      </c>
      <c r="C12" s="5" t="inlineStr">
        <is>
          <t>Two-day ship make-safe, full wet-season demob and cyclone recovery to be timed</t>
        </is>
      </c>
      <c r="D12" s="5" t="inlineStr">
        <is>
          <t>Open gate</t>
        </is>
      </c>
      <c r="E12" s="5" t="inlineStr">
        <is>
          <t>Can consume calendar and fleet capacity</t>
        </is>
      </c>
      <c r="F12" s="2" t="n"/>
      <c r="G12" s="2" t="n"/>
      <c r="H12" s="2" t="n"/>
      <c r="I12" s="2" t="n"/>
      <c r="J12" s="2" t="n"/>
      <c r="K12" s="2" t="n"/>
      <c r="L12" s="2" t="n"/>
    </row>
    <row r="13">
      <c r="A13" s="5" t="inlineStr">
        <is>
          <t>Cost basis</t>
        </is>
      </c>
      <c r="B13" s="5" t="inlineStr">
        <is>
          <t>Current contract access basis known but remaining avoidable cost not reconciled</t>
        </is>
      </c>
      <c r="C13" s="5" t="inlineStr">
        <is>
          <t>Detailed bottom-up model prepared; total incomplete until rates/duration/fleet are closed</t>
        </is>
      </c>
      <c r="D13" s="5" t="inlineStr">
        <is>
          <t>Partial</t>
        </is>
      </c>
      <c r="E13" s="5" t="inlineStr">
        <is>
          <t>No unsupported saving claim</t>
        </is>
      </c>
      <c r="F13" s="2" t="n"/>
      <c r="G13" s="2" t="n"/>
      <c r="H13" s="2" t="n"/>
      <c r="I13" s="2" t="n"/>
      <c r="J13" s="2" t="n"/>
      <c r="K13" s="2" t="n"/>
      <c r="L13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5" customWidth="1" min="4" max="4"/>
    <col width="50" customWidth="1" min="5" max="5"/>
    <col width="25" customWidth="1" min="6" max="6"/>
    <col width="10" customWidth="1" min="7" max="7"/>
    <col width="10" customWidth="1" min="8" max="8"/>
    <col width="14" customWidth="1" min="9" max="9"/>
    <col width="19" customWidth="1" min="10" max="10"/>
    <col width="16" customWidth="1" min="11" max="11"/>
    <col width="10" customWidth="1" min="12" max="12"/>
  </cols>
  <sheetData>
    <row r="1" ht="26" customHeight="1">
      <c r="A1" s="1" t="inlineStr">
        <is>
          <t>Risk, Verification Gate and RFI Register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6" t="inlineStr">
        <is>
          <t>ID</t>
        </is>
      </c>
      <c r="B3" s="6" t="inlineStr">
        <is>
          <t>Category</t>
        </is>
      </c>
      <c r="C3" s="6" t="inlineStr">
        <is>
          <t>Risk / open item</t>
        </is>
      </c>
      <c r="D3" s="6" t="inlineStr">
        <is>
          <t>Consequence</t>
        </is>
      </c>
      <c r="E3" s="6" t="inlineStr">
        <is>
          <t>Required evidence / action</t>
        </is>
      </c>
      <c r="F3" s="6" t="inlineStr">
        <is>
          <t>Owner</t>
        </is>
      </c>
      <c r="G3" s="6" t="inlineStr">
        <is>
          <t>Due</t>
        </is>
      </c>
      <c r="H3" s="6" t="inlineStr">
        <is>
          <t>Status</t>
        </is>
      </c>
      <c r="I3" s="6" t="inlineStr">
        <is>
          <t>Affects cost</t>
        </is>
      </c>
      <c r="J3" s="6" t="inlineStr">
        <is>
          <t>Affects programme</t>
        </is>
      </c>
      <c r="K3" s="6" t="inlineStr">
        <is>
          <t>Affects safety</t>
        </is>
      </c>
      <c r="L3" s="2" t="n"/>
    </row>
    <row r="4">
      <c r="A4" s="5" t="inlineStr">
        <is>
          <t>R01</t>
        </is>
      </c>
      <c r="B4" s="5" t="inlineStr">
        <is>
          <t>Scope</t>
        </is>
      </c>
      <c r="C4" s="5" t="inlineStr">
        <is>
          <t>Priority boundary and current remaining bent/family status not confirmed</t>
        </is>
      </c>
      <c r="D4" s="5" t="inlineStr">
        <is>
          <t>Required rate, fleet, cost and method assignment remain uncertain</t>
        </is>
      </c>
      <c r="E4" s="5" t="inlineStr">
        <is>
          <t>STL issue controlled bent register</t>
        </is>
      </c>
      <c r="F4" s="5" t="inlineStr">
        <is>
          <t>STL</t>
        </is>
      </c>
      <c r="G4" s="5" t="inlineStr"/>
      <c r="H4" s="17" t="inlineStr">
        <is>
          <t>Open</t>
        </is>
      </c>
      <c r="I4" s="5" t="inlineStr">
        <is>
          <t>Y</t>
        </is>
      </c>
      <c r="J4" s="5" t="inlineStr">
        <is>
          <t>Y</t>
        </is>
      </c>
      <c r="K4" s="5" t="inlineStr">
        <is>
          <t>N</t>
        </is>
      </c>
      <c r="L4" s="2" t="n"/>
    </row>
    <row r="5">
      <c r="A5" s="5" t="inlineStr">
        <is>
          <t>R02</t>
        </is>
      </c>
      <c r="B5" s="5" t="inlineStr">
        <is>
          <t>Platform</t>
        </is>
      </c>
      <c r="C5" s="5" t="inlineStr">
        <is>
          <t>Selected GGC platform mass, freeboard, deck load and lifting points not confirmed</t>
        </is>
      </c>
      <c r="D5" s="5" t="inlineStr">
        <is>
          <t>Hoist and temporary-works feasibility unverified</t>
        </is>
      </c>
      <c r="E5" s="5" t="inlineStr">
        <is>
          <t>Written GGC/Hansen technical schedule</t>
        </is>
      </c>
      <c r="F5" s="5" t="inlineStr">
        <is>
          <t>GGC</t>
        </is>
      </c>
      <c r="G5" s="5" t="inlineStr"/>
      <c r="H5" s="17" t="inlineStr">
        <is>
          <t>Open</t>
        </is>
      </c>
      <c r="I5" s="5" t="inlineStr">
        <is>
          <t>Y</t>
        </is>
      </c>
      <c r="J5" s="5" t="inlineStr">
        <is>
          <t>Y</t>
        </is>
      </c>
      <c r="K5" s="5" t="inlineStr">
        <is>
          <t>Y</t>
        </is>
      </c>
      <c r="L5" s="2" t="n"/>
    </row>
    <row r="6">
      <c r="A6" s="5" t="inlineStr">
        <is>
          <t>R03</t>
        </is>
      </c>
      <c r="B6" s="5" t="inlineStr">
        <is>
          <t>Suspension</t>
        </is>
      </c>
      <c r="C6" s="5" t="inlineStr">
        <is>
          <t>Winch location, travelling clamp range and locking not defined</t>
        </is>
      </c>
      <c r="D6" s="5" t="inlineStr">
        <is>
          <t>Platform may not follow pile rake or survive fault cases</t>
        </is>
      </c>
      <c r="E6" s="5" t="inlineStr">
        <is>
          <t>Supplier concept + RPEQ design</t>
        </is>
      </c>
      <c r="F6" s="5" t="inlineStr">
        <is>
          <t>GGC/RPEQ</t>
        </is>
      </c>
      <c r="G6" s="5" t="inlineStr"/>
      <c r="H6" s="17" t="inlineStr">
        <is>
          <t>Open</t>
        </is>
      </c>
      <c r="I6" s="5" t="inlineStr">
        <is>
          <t>Y</t>
        </is>
      </c>
      <c r="J6" s="5" t="inlineStr">
        <is>
          <t>Y</t>
        </is>
      </c>
      <c r="K6" s="5" t="inlineStr">
        <is>
          <t>Y</t>
        </is>
      </c>
      <c r="L6" s="2" t="n"/>
    </row>
    <row r="7">
      <c r="A7" s="5" t="inlineStr">
        <is>
          <t>R04</t>
        </is>
      </c>
      <c r="B7" s="5" t="inlineStr">
        <is>
          <t>Traversing decks</t>
        </is>
      </c>
      <c r="C7" s="5" t="inlineStr">
        <is>
          <t>Load path between independently suspended platforms undefined</t>
        </is>
      </c>
      <c r="D7" s="5" t="inlineStr">
        <is>
          <t>360-degree access may be unsafe/unworkable</t>
        </is>
      </c>
      <c r="E7" s="5" t="inlineStr">
        <is>
          <t>TW design and trial</t>
        </is>
      </c>
      <c r="F7" s="5" t="inlineStr">
        <is>
          <t>RPEQ/GGC</t>
        </is>
      </c>
      <c r="G7" s="5" t="inlineStr"/>
      <c r="H7" s="17" t="inlineStr">
        <is>
          <t>Open</t>
        </is>
      </c>
      <c r="I7" s="5" t="inlineStr">
        <is>
          <t>Y</t>
        </is>
      </c>
      <c r="J7" s="5" t="inlineStr">
        <is>
          <t>Y</t>
        </is>
      </c>
      <c r="K7" s="5" t="inlineStr">
        <is>
          <t>Y</t>
        </is>
      </c>
      <c r="L7" s="2" t="n"/>
    </row>
    <row r="8">
      <c r="A8" s="5" t="inlineStr">
        <is>
          <t>R05</t>
        </is>
      </c>
      <c r="B8" s="5" t="inlineStr">
        <is>
          <t>Containment</t>
        </is>
      </c>
      <c r="C8" s="5" t="inlineStr">
        <is>
          <t>Half-shell alignment and headstock enclosure not defined</t>
        </is>
      </c>
      <c r="D8" s="5" t="inlineStr">
        <is>
          <t>Blast/coating productivity and environmental control unproven</t>
        </is>
      </c>
      <c r="E8" s="5" t="inlineStr">
        <is>
          <t>Supplier design, airflow/noise/waste tests</t>
        </is>
      </c>
      <c r="F8" s="5" t="inlineStr">
        <is>
          <t>Supplier</t>
        </is>
      </c>
      <c r="G8" s="5" t="inlineStr"/>
      <c r="H8" s="17" t="inlineStr">
        <is>
          <t>Open</t>
        </is>
      </c>
      <c r="I8" s="5" t="inlineStr">
        <is>
          <t>Y</t>
        </is>
      </c>
      <c r="J8" s="5" t="inlineStr">
        <is>
          <t>Y</t>
        </is>
      </c>
      <c r="K8" s="5" t="inlineStr">
        <is>
          <t>Y</t>
        </is>
      </c>
      <c r="L8" s="2" t="n"/>
    </row>
    <row r="9">
      <c r="A9" s="5" t="inlineStr">
        <is>
          <t>R06</t>
        </is>
      </c>
      <c r="B9" s="5" t="inlineStr">
        <is>
          <t>Jackets</t>
        </is>
      </c>
      <c r="C9" s="5" t="inlineStr">
        <is>
          <t>Below-LAT installation and lower termination unresolved</t>
        </is>
      </c>
      <c r="D9" s="5" t="inlineStr">
        <is>
          <t>Bent closeout cycle incomplete</t>
        </is>
      </c>
      <c r="E9" s="5" t="inlineStr">
        <is>
          <t>Manufacturer/marine method and trial</t>
        </is>
      </c>
      <c r="F9" s="5" t="inlineStr">
        <is>
          <t>Supplier</t>
        </is>
      </c>
      <c r="G9" s="5" t="inlineStr"/>
      <c r="H9" s="17" t="inlineStr">
        <is>
          <t>Open</t>
        </is>
      </c>
      <c r="I9" s="5" t="inlineStr">
        <is>
          <t>Y</t>
        </is>
      </c>
      <c r="J9" s="5" t="inlineStr">
        <is>
          <t>Y</t>
        </is>
      </c>
      <c r="K9" s="5" t="inlineStr">
        <is>
          <t>Y</t>
        </is>
      </c>
      <c r="L9" s="2" t="n"/>
    </row>
    <row r="10">
      <c r="A10" s="5" t="inlineStr">
        <is>
          <t>R07</t>
        </is>
      </c>
      <c r="B10" s="5" t="inlineStr">
        <is>
          <t>Approval</t>
        </is>
      </c>
      <c r="C10" s="5" t="inlineStr">
        <is>
          <t>One bent-level three-day approval basis not confirmed</t>
        </is>
      </c>
      <c r="D10" s="5" t="inlineStr">
        <is>
          <t>Additional holds can increase cycle/fleet materially</t>
        </is>
      </c>
      <c r="E10" s="5" t="inlineStr">
        <is>
          <t>Jed and reviewing engineer decision</t>
        </is>
      </c>
      <c r="F10" s="5" t="inlineStr">
        <is>
          <t>Endura/STL</t>
        </is>
      </c>
      <c r="G10" s="5" t="inlineStr"/>
      <c r="H10" s="17" t="inlineStr">
        <is>
          <t>Open</t>
        </is>
      </c>
      <c r="I10" s="5" t="inlineStr">
        <is>
          <t>N</t>
        </is>
      </c>
      <c r="J10" s="5" t="inlineStr">
        <is>
          <t>Y</t>
        </is>
      </c>
      <c r="K10" s="5" t="inlineStr">
        <is>
          <t>N</t>
        </is>
      </c>
      <c r="L10" s="2" t="n"/>
    </row>
    <row r="11">
      <c r="A11" s="5" t="inlineStr">
        <is>
          <t>R08</t>
        </is>
      </c>
      <c r="B11" s="5" t="inlineStr">
        <is>
          <t>Welding</t>
        </is>
      </c>
      <c r="C11" s="5" t="inlineStr">
        <is>
          <t>Accepted lm/crew-shift and simultaneous safe weld zones unproven</t>
        </is>
      </c>
      <c r="D11" s="5" t="inlineStr">
        <is>
          <t>Largest modelled activity may be understated</t>
        </is>
      </c>
      <c r="E11" s="5" t="inlineStr">
        <is>
          <t>Timed trial incl fit-up/NDT/rework</t>
        </is>
      </c>
      <c r="F11" s="5" t="inlineStr">
        <is>
          <t>Contractor</t>
        </is>
      </c>
      <c r="G11" s="5" t="inlineStr"/>
      <c r="H11" s="17" t="inlineStr">
        <is>
          <t>Open</t>
        </is>
      </c>
      <c r="I11" s="5" t="inlineStr">
        <is>
          <t>Y</t>
        </is>
      </c>
      <c r="J11" s="5" t="inlineStr">
        <is>
          <t>Y</t>
        </is>
      </c>
      <c r="K11" s="5" t="inlineStr">
        <is>
          <t>Y</t>
        </is>
      </c>
      <c r="L11" s="2" t="n"/>
    </row>
    <row r="12">
      <c r="A12" s="5" t="inlineStr">
        <is>
          <t>R09</t>
        </is>
      </c>
      <c r="B12" s="5" t="inlineStr">
        <is>
          <t>Coating</t>
        </is>
      </c>
      <c r="C12" s="5" t="inlineStr">
        <is>
          <t>Active work separated from elapsed recoat holds; dated work-lot logic incomplete</t>
        </is>
      </c>
      <c r="D12" s="5" t="inlineStr">
        <is>
          <t>14.02-day cycle is not demonstrated elapsed occupancy</t>
        </is>
      </c>
      <c r="E12" s="5" t="inlineStr">
        <is>
          <t>Manufacturer advice and proving cycle</t>
        </is>
      </c>
      <c r="F12" s="5" t="inlineStr">
        <is>
          <t>Coating supplier</t>
        </is>
      </c>
      <c r="G12" s="5" t="inlineStr"/>
      <c r="H12" s="17" t="inlineStr">
        <is>
          <t>Open</t>
        </is>
      </c>
      <c r="I12" s="5" t="inlineStr">
        <is>
          <t>Y</t>
        </is>
      </c>
      <c r="J12" s="5" t="inlineStr">
        <is>
          <t>Y</t>
        </is>
      </c>
      <c r="K12" s="5" t="inlineStr">
        <is>
          <t>Y</t>
        </is>
      </c>
      <c r="L12" s="2" t="n"/>
    </row>
    <row r="13">
      <c r="A13" s="5" t="inlineStr">
        <is>
          <t>R10</t>
        </is>
      </c>
      <c r="B13" s="5" t="inlineStr">
        <is>
          <t>Marine spread</t>
        </is>
      </c>
      <c r="C13" s="5" t="inlineStr">
        <is>
          <t>Bathymetry, leg penetration, JUB reach and service capacity unresolved</t>
        </is>
      </c>
      <c r="D13" s="5" t="inlineStr">
        <is>
          <t>JUB may not cover assumed workfronts or inshore area</t>
        </is>
      </c>
      <c r="E13" s="5" t="inlineStr">
        <is>
          <t>Survey + candidate JUB study</t>
        </is>
      </c>
      <c r="F13" s="5" t="inlineStr">
        <is>
          <t>STL/Marine supplier</t>
        </is>
      </c>
      <c r="G13" s="5" t="inlineStr"/>
      <c r="H13" s="17" t="inlineStr">
        <is>
          <t>Open</t>
        </is>
      </c>
      <c r="I13" s="5" t="inlineStr">
        <is>
          <t>Y</t>
        </is>
      </c>
      <c r="J13" s="5" t="inlineStr">
        <is>
          <t>Y</t>
        </is>
      </c>
      <c r="K13" s="5" t="inlineStr">
        <is>
          <t>Y</t>
        </is>
      </c>
      <c r="L13" s="2" t="n"/>
    </row>
    <row r="14">
      <c r="A14" s="5" t="inlineStr">
        <is>
          <t>R11</t>
        </is>
      </c>
      <c r="B14" s="5" t="inlineStr">
        <is>
          <t>Calendar</t>
        </is>
      </c>
      <c r="C14" s="5" t="inlineStr">
        <is>
          <t>Ship calls, outages, weather and wet-season blocks not fully dated</t>
        </is>
      </c>
      <c r="D14" s="5" t="inlineStr">
        <is>
          <t>Required production window can be overstated</t>
        </is>
      </c>
      <c r="E14" s="5" t="inlineStr">
        <is>
          <t>Dated calendar model</t>
        </is>
      </c>
      <c r="F14" s="5" t="inlineStr">
        <is>
          <t>STL/Planner</t>
        </is>
      </c>
      <c r="G14" s="5" t="inlineStr"/>
      <c r="H14" s="17" t="inlineStr">
        <is>
          <t>Open</t>
        </is>
      </c>
      <c r="I14" s="5" t="inlineStr">
        <is>
          <t>Y</t>
        </is>
      </c>
      <c r="J14" s="5" t="inlineStr">
        <is>
          <t>Y</t>
        </is>
      </c>
      <c r="K14" s="5" t="inlineStr">
        <is>
          <t>Y</t>
        </is>
      </c>
      <c r="L14" s="2" t="n"/>
    </row>
    <row r="15">
      <c r="A15" s="5" t="inlineStr">
        <is>
          <t>R12</t>
        </is>
      </c>
      <c r="B15" s="5" t="inlineStr">
        <is>
          <t>Cyclone</t>
        </is>
      </c>
      <c r="C15" s="5" t="inlineStr">
        <is>
          <t>Full fleet recovery within warning time not demonstrated</t>
        </is>
      </c>
      <c r="D15" s="5" t="inlineStr">
        <is>
          <t>Asset/environmental exposure and loss of season</t>
        </is>
      </c>
      <c r="E15" s="5" t="inlineStr">
        <is>
          <t>Timed recovery plan/drill</t>
        </is>
      </c>
      <c r="F15" s="5" t="inlineStr">
        <is>
          <t>Marine contractor</t>
        </is>
      </c>
      <c r="G15" s="5" t="inlineStr"/>
      <c r="H15" s="17" t="inlineStr">
        <is>
          <t>Open</t>
        </is>
      </c>
      <c r="I15" s="5" t="inlineStr">
        <is>
          <t>Y</t>
        </is>
      </c>
      <c r="J15" s="5" t="inlineStr">
        <is>
          <t>Y</t>
        </is>
      </c>
      <c r="K15" s="5" t="inlineStr">
        <is>
          <t>Y</t>
        </is>
      </c>
      <c r="L15" s="2" t="n"/>
    </row>
    <row r="16">
      <c r="A16" s="5" t="inlineStr">
        <is>
          <t>R13</t>
        </is>
      </c>
      <c r="B16" s="5" t="inlineStr">
        <is>
          <t>Environmental</t>
        </is>
      </c>
      <c r="C16" s="5" t="inlineStr">
        <is>
          <t>GBRMPA/port/ecology/waste permissions not confirmed</t>
        </is>
      </c>
      <c r="D16" s="5" t="inlineStr">
        <is>
          <t>Approval delay or method restriction</t>
        </is>
      </c>
      <c r="E16" s="5" t="inlineStr">
        <is>
          <t>Regulatory pathway and permit matrix</t>
        </is>
      </c>
      <c r="F16" s="5" t="inlineStr">
        <is>
          <t>Endura/STL</t>
        </is>
      </c>
      <c r="G16" s="5" t="inlineStr"/>
      <c r="H16" s="17" t="inlineStr">
        <is>
          <t>Open</t>
        </is>
      </c>
      <c r="I16" s="5" t="inlineStr">
        <is>
          <t>Y</t>
        </is>
      </c>
      <c r="J16" s="5" t="inlineStr">
        <is>
          <t>Y</t>
        </is>
      </c>
      <c r="K16" s="5" t="inlineStr">
        <is>
          <t>Y</t>
        </is>
      </c>
      <c r="L16" s="2" t="n"/>
    </row>
    <row r="17">
      <c r="A17" s="5" t="inlineStr">
        <is>
          <t>R14</t>
        </is>
      </c>
      <c r="B17" s="5" t="inlineStr">
        <is>
          <t>Insurance</t>
        </is>
      </c>
      <c r="C17" s="5" t="inlineStr">
        <is>
          <t>Marine plant, P&amp;I, professional and environmental cover not confirmed</t>
        </is>
      </c>
      <c r="D17" s="5" t="inlineStr">
        <is>
          <t>Uninsured exposure/procurement delay</t>
        </is>
      </c>
      <c r="E17" s="5" t="inlineStr">
        <is>
          <t>Broker review by vessel/operation class</t>
        </is>
      </c>
      <c r="F17" s="5" t="inlineStr">
        <is>
          <t>Contractor/STL</t>
        </is>
      </c>
      <c r="G17" s="5" t="inlineStr"/>
      <c r="H17" s="17" t="inlineStr">
        <is>
          <t>Open</t>
        </is>
      </c>
      <c r="I17" s="5" t="inlineStr">
        <is>
          <t>Y</t>
        </is>
      </c>
      <c r="J17" s="5" t="inlineStr">
        <is>
          <t>Y</t>
        </is>
      </c>
      <c r="K17" s="5" t="inlineStr">
        <is>
          <t>Y</t>
        </is>
      </c>
      <c r="L17" s="2" t="n"/>
    </row>
    <row r="18">
      <c r="A18" s="5" t="inlineStr">
        <is>
          <t>R15</t>
        </is>
      </c>
      <c r="B18" s="5" t="inlineStr">
        <is>
          <t>Commercial</t>
        </is>
      </c>
      <c r="C18" s="5" t="inlineStr">
        <is>
          <t>GGC/JUB/labour rates and current remaining contract cost not reconciled</t>
        </is>
      </c>
      <c r="D18" s="5" t="inlineStr">
        <is>
          <t>No board-defensible cost comparison</t>
        </is>
      </c>
      <c r="E18" s="5" t="inlineStr">
        <is>
          <t>Written quotes and certified cost-to-complete</t>
        </is>
      </c>
      <c r="F18" s="5" t="inlineStr">
        <is>
          <t>Endura/STL</t>
        </is>
      </c>
      <c r="G18" s="5" t="inlineStr"/>
      <c r="H18" s="17" t="inlineStr">
        <is>
          <t>Open</t>
        </is>
      </c>
      <c r="I18" s="5" t="inlineStr">
        <is>
          <t>Y</t>
        </is>
      </c>
      <c r="J18" s="5" t="inlineStr">
        <is>
          <t>Y</t>
        </is>
      </c>
      <c r="K18" s="5" t="inlineStr">
        <is>
          <t>N</t>
        </is>
      </c>
      <c r="L18" s="2" t="n"/>
    </row>
  </sheetData>
  <mergeCells count="1">
    <mergeCell ref="A1:L1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Executive Dashboard - Current Evidence and Candidate Sensitivities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8" t="inlineStr">
        <is>
          <t>Required stress rate</t>
        </is>
      </c>
      <c r="B3" s="20" t="n"/>
      <c r="C3" s="2" t="n"/>
      <c r="D3" s="18" t="inlineStr">
        <is>
          <t>Current safe-access claim rate</t>
        </is>
      </c>
      <c r="E3" s="20" t="n"/>
      <c r="F3" s="2" t="n"/>
      <c r="G3" s="18" t="inlineStr">
        <is>
          <t>Base model cycle</t>
        </is>
      </c>
      <c r="H3" s="20" t="n"/>
      <c r="I3" s="2" t="n"/>
      <c r="J3" s="6" t="inlineStr">
        <is>
          <t>Decision statement</t>
        </is>
      </c>
      <c r="K3" s="19" t="n"/>
      <c r="L3" s="20" t="n"/>
    </row>
    <row r="4">
      <c r="A4" s="12">
        <f>'08 Productivity'!B7</f>
        <v/>
      </c>
      <c r="B4" s="20" t="n"/>
      <c r="C4" s="2" t="n"/>
      <c r="D4" s="12">
        <f>'03 Current Baseline'!E4</f>
        <v/>
      </c>
      <c r="E4" s="20" t="n"/>
      <c r="F4" s="2" t="n"/>
      <c r="G4" s="12">
        <f>'08 Productivity'!B38</f>
        <v/>
      </c>
      <c r="H4" s="20" t="n"/>
      <c r="I4" s="2" t="n"/>
      <c r="J4" s="9" t="inlineStr">
        <is>
          <t>Two complete access sets should be treated as a proving/leapfrog pair, not the demonstrated production fleet. Final fleet and cost require supplier data, a timed trial and the dated calendar.</t>
        </is>
      </c>
      <c r="K4" s="23" t="n"/>
      <c r="L4" s="24" t="n"/>
    </row>
    <row r="5">
      <c r="A5" s="3" t="inlineStr">
        <is>
          <t>QA-closed bents/week</t>
        </is>
      </c>
      <c r="B5" s="20" t="n"/>
      <c r="C5" s="2" t="n"/>
      <c r="D5" s="3" t="inlineStr">
        <is>
          <t>stage eq/week</t>
        </is>
      </c>
      <c r="E5" s="20" t="n"/>
      <c r="F5" s="2" t="n"/>
      <c r="G5" s="3" t="inlineStr">
        <is>
          <t>shifts/set</t>
        </is>
      </c>
      <c r="H5" s="20" t="n"/>
      <c r="I5" s="2" t="n"/>
      <c r="J5" s="25" t="n"/>
      <c r="L5" s="26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5" t="n"/>
      <c r="L6" s="26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5" t="n"/>
      <c r="L7" s="26" t="n"/>
    </row>
    <row r="8">
      <c r="A8" s="18" t="inlineStr">
        <is>
          <t>Base rate per set</t>
        </is>
      </c>
      <c r="B8" s="20" t="n"/>
      <c r="C8" s="2" t="n"/>
      <c r="D8" s="18" t="inlineStr">
        <is>
          <t>Base sets required</t>
        </is>
      </c>
      <c r="E8" s="20" t="n"/>
      <c r="F8" s="2" t="n"/>
      <c r="G8" s="18" t="inlineStr">
        <is>
          <t>Estimate completeness</t>
        </is>
      </c>
      <c r="H8" s="20" t="n"/>
      <c r="I8" s="2" t="n"/>
      <c r="J8" s="25" t="n"/>
      <c r="L8" s="26" t="n"/>
    </row>
    <row r="9">
      <c r="A9" s="12">
        <f>'08 Productivity'!B39</f>
        <v/>
      </c>
      <c r="B9" s="20" t="n"/>
      <c r="C9" s="2" t="n"/>
      <c r="D9" s="12">
        <f>'08 Productivity'!B40</f>
        <v/>
      </c>
      <c r="E9" s="20" t="n"/>
      <c r="F9" s="2" t="n"/>
      <c r="G9" s="12">
        <f>'07 Cost Build Up'!H42</f>
        <v/>
      </c>
      <c r="H9" s="20" t="n"/>
      <c r="I9" s="2" t="n"/>
      <c r="J9" s="25" t="n"/>
      <c r="L9" s="26" t="n"/>
    </row>
    <row r="10">
      <c r="A10" s="3" t="inlineStr">
        <is>
          <t>bents/week/set</t>
        </is>
      </c>
      <c r="B10" s="20" t="n"/>
      <c r="C10" s="2" t="n"/>
      <c r="D10" s="3" t="inlineStr">
        <is>
          <t>diagnostic sets</t>
        </is>
      </c>
      <c r="E10" s="20" t="n"/>
      <c r="F10" s="2" t="n"/>
      <c r="G10" s="3" t="inlineStr">
        <is>
          <t>% numeric lines</t>
        </is>
      </c>
      <c r="H10" s="20" t="n"/>
      <c r="I10" s="2" t="n"/>
      <c r="J10" s="27" t="n"/>
      <c r="K10" s="28" t="n"/>
      <c r="L10" s="29" t="n"/>
    </row>
  </sheetData>
  <mergeCells count="21">
    <mergeCell ref="D10:E10"/>
    <mergeCell ref="G8:H8"/>
    <mergeCell ref="G10:H10"/>
    <mergeCell ref="J4:L10"/>
    <mergeCell ref="A3:B3"/>
    <mergeCell ref="J3:L3"/>
    <mergeCell ref="G3:H3"/>
    <mergeCell ref="A5:B5"/>
    <mergeCell ref="G5:H5"/>
    <mergeCell ref="D4:E4"/>
    <mergeCell ref="D9:E9"/>
    <mergeCell ref="A8:B8"/>
    <mergeCell ref="D3:E3"/>
    <mergeCell ref="A4:B4"/>
    <mergeCell ref="G4:H4"/>
    <mergeCell ref="D8:E8"/>
    <mergeCell ref="A1:L1"/>
    <mergeCell ref="D5:E5"/>
    <mergeCell ref="A10:B10"/>
    <mergeCell ref="A9:B9"/>
    <mergeCell ref="G9:H9"/>
  </mergeCells>
  <pageMargins left="0.25" right="0.25" top="0.5" bottom="0.5" header="0.5" footer="0.5"/>
  <pageSetup orientation="landscape" fitToHeight="0" fitToWidth="1"/>
  <headerFooter>
    <oddHeader/>
    <oddFooter>&amp;CCommercial in confidence | Endura Decommissioning&amp;RPage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2026-08-20T06:39:19Z</dcterms:created>
  <dcterms:modified xmlns:dcterms="http://purl.org/dc/terms/" xmlns:xsi="http://www.w3.org/2001/XMLSchema-instance" xsi:type="dcterms:W3CDTF">2026-08-20T06:52:53Z</dcterms:modified>
</cp:coreProperties>
</file>